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051873e27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Order" sheetId="1" r:id="R9f20614da085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€&quot;#,##0.00"/>
    <x:numFmt numFmtId="201" formatCode="0.0%"/>
    <x:numFmt numFmtId="202" formatCode="0%"/>
  </x:numFmts>
  <x:fonts count="10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b/>
      <x:sz val="16"/>
      <x:color rgb="FF14506B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i/>
      <x:sz val="9"/>
      <x:color rgb="FF172033"/>
      <x:name val="Arial"/>
    </x:font>
    <x:font>
      <x:b/>
      <x:sz val="11"/>
      <x:color rgb="FF14506B"/>
      <x:name val="Arial"/>
    </x:font>
    <x:font>
      <x:sz val="9"/>
      <x:color rgb="FF172033"/>
      <x:name val="Arial"/>
    </x:font>
    <x:font>
      <x:i/>
      <x:sz val="8"/>
      <x:color rgb="FF66708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506B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9EEF5"/>
      </x:patternFill>
    </x:fill>
  </x:fills>
  <x:borders count="17">
    <x:border/>
    <x:border>
      <x:left style="thin">
        <x:color rgb="FF14506B"/>
      </x:left>
      <x:top style="thin">
        <x:color rgb="FF14506B"/>
      </x:top>
      <x:bottom style="thin">
        <x:color rgb="FF14506B"/>
      </x:bottom>
    </x:border>
    <x:border>
      <x:top style="thin">
        <x:color rgb="FF14506B"/>
      </x:top>
      <x:bottom style="thin">
        <x:color rgb="FF14506B"/>
      </x:bottom>
    </x:border>
    <x:border>
      <x:right style="thin">
        <x:color rgb="FF14506B"/>
      </x:right>
      <x:top style="thin">
        <x:color rgb="FF14506B"/>
      </x:top>
      <x:bottom style="thin">
        <x:color rgb="FF14506B"/>
      </x:bottom>
    </x:border>
    <x:border>
      <x:left style="thin">
        <x:color rgb="FFD7DCE5"/>
      </x:left>
      <x:top style="thin">
        <x:color rgb="FFD7DCE5"/>
      </x:top>
    </x:border>
    <x:border>
      <x:right style="thin">
        <x:color rgb="FFD7DCE5"/>
      </x:right>
      <x:top style="thin">
        <x:color rgb="FFD7DCE5"/>
      </x:top>
    </x:border>
    <x:border>
      <x:left style="thin">
        <x:color rgb="FFD7DCE5"/>
      </x:left>
    </x:border>
    <x:border>
      <x:right style="thin">
        <x:color rgb="FFD7DCE5"/>
      </x:right>
    </x:border>
    <x:border>
      <x:left style="thin">
        <x:color rgb="FFD7DCE5"/>
      </x:left>
      <x:bottom style="thin">
        <x:color rgb="FFD7DCE5"/>
      </x:bottom>
    </x:border>
    <x:border>
      <x:right style="thin">
        <x:color rgb="FFD7DCE5"/>
      </x:right>
      <x:bottom style="thin">
        <x:color rgb="FFD7DC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DCE5"/>
      </x:bottom>
    </x:border>
    <x:border>
      <x:top style="thin">
        <x:color rgb="FFD7DCE5"/>
      </x:top>
      <x:bottom style="thin">
        <x:color rgb="FFD7DCE5"/>
      </x:bottom>
    </x:border>
    <x:border>
      <x:top style="thin">
        <x:color rgb="FF14506B"/>
      </x:top>
    </x:border>
    <x:border>
      <x:bottom style="thin">
        <x:color rgb="FF14506B"/>
      </x:bottom>
    </x:border>
    <x:border>
      <x:bottom style="double">
        <x:color rgb="FF14506B"/>
      </x:bottom>
    </x:border>
    <x:border>
      <x:top style="thin">
        <x:color rgb="FFD7DCE5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horizontal="center" vertical="center"/>
    </x:xf>
    <x:xf numFmtId="200" fontId="1" fillId="3" borderId="11" xfId="0" applyNumberFormat="1" applyFont="1" applyFill="1" applyBorder="1" applyAlignment="1">
      <x:alignment vertical="center"/>
    </x:xf>
    <x:xf numFmtId="201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center"/>
    </x:xf>
    <x:xf numFmtId="20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0" fontId="1" fillId="4" borderId="11" xfId="0" applyNumberFormat="1" applyFont="1" applyFill="1" applyBorder="1" applyAlignment="1">
      <x:alignment vertical="center"/>
    </x:xf>
    <x:xf numFmtId="200" fontId="1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200" fontId="1" fillId="5" borderId="14" xfId="0" applyNumberFormat="1" applyFont="1" applyFill="1" applyBorder="1" applyAlignment="1">
      <x:alignment vertical="center"/>
    </x:xf>
    <x:xf numFmtId="0" fontId="7" fillId="5" borderId="14" xfId="0" applyNumberFormat="1" applyFont="1" applyFill="1" applyBorder="1" applyAlignment="1">
      <x:alignment vertical="center"/>
    </x:xf>
    <x:xf numFmtId="200" fontId="7" fillId="5" borderId="14" xfId="0" applyNumberFormat="1" applyFont="1" applyFill="1" applyBorder="1" applyAlignment="1">
      <x:alignment vertical="center"/>
    </x:xf>
    <x:xf numFmtId="0" fontId="7" fillId="5" borderId="15" xfId="0" applyNumberFormat="1" applyFont="1" applyFill="1" applyBorder="1" applyAlignment="1">
      <x:alignment vertical="center"/>
    </x:xf>
    <x:xf numFmtId="200" fontId="7" fillId="5" borderId="15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e91320edd4083" /><Relationship Type="http://schemas.openxmlformats.org/officeDocument/2006/relationships/theme" Target="/xl/theme/theme1.xml" Id="Ra6b3271693504fc3" /><Relationship Type="http://schemas.openxmlformats.org/officeDocument/2006/relationships/sharedStrings" Target="/xl/sharedStrings.xml" Id="Rcaa3f8897ebc4b19" /><Relationship Type="http://schemas.openxmlformats.org/officeDocument/2006/relationships/worksheet" Target="/xl/worksheets/sheet1.xml" Id="R9f20614da085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506B"/>
  </x:sheetPr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43" hidden="0" customWidth="1"/>
    <x:col min="4" max="4" width="10" hidden="0" customWidth="1"/>
    <x:col min="5" max="5" width="10" hidden="0" customWidth="1"/>
    <x:col min="6" max="6" width="14" hidden="0" customWidth="1"/>
    <x:col min="7" max="7" width="12" hidden="0" customWidth="1"/>
    <x:col min="8" max="8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NORTHSTAR COMMERCIAL KITCHENS</x:v>
      </x:c>
      <x:c r="B2" s="5"/>
      <x:c r="C2" s="5"/>
      <x:c r="D2" s="5"/>
      <x:c r="E2" s="2"/>
      <x:c r="F2" s="7" t="str">
        <x:v>PURCHASE ORDER</x:v>
      </x:c>
      <x:c r="G2" s="7"/>
      <x:c r="H2" s="7"/>
    </x:row>
    <x:row r="3" ht="24" customHeight="1">
      <x:c r="A3" s="5"/>
      <x:c r="B3" s="5"/>
      <x:c r="C3" s="5"/>
      <x:c r="D3" s="5"/>
      <x:c r="E3" s="2"/>
      <x:c r="F3" s="7"/>
      <x:c r="G3" s="7"/>
      <x:c r="H3" s="7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9" t="str">
        <x:v>Supplier</x:v>
      </x:c>
      <x:c r="B5" s="10"/>
      <x:c r="C5" s="11"/>
      <x:c r="D5" s="9" t="str">
        <x:v>Delivery address</x:v>
      </x:c>
      <x:c r="E5" s="11"/>
      <x:c r="F5" s="9" t="str">
        <x:v>Order details</x:v>
      </x:c>
      <x:c r="G5" s="10"/>
      <x:c r="H5" s="11"/>
    </x:row>
    <x:row r="6">
      <x:c r="A6" s="2" t="str">
        <x:v>Aurora Parts Deutschland GmbH</x:v>
      </x:c>
      <x:c r="B6" s="2"/>
      <x:c r="C6" s="2"/>
      <x:c r="D6" s="2" t="str">
        <x:v>Northstar Service Hub</x:v>
      </x:c>
      <x:c r="E6" s="2"/>
      <x:c r="F6" s="12" t="str">
        <x:v>Order number</x:v>
      </x:c>
      <x:c r="G6" s="14" t="str">
        <x:v>PO-SR-482716-9</x:v>
      </x:c>
      <x:c r="H6" s="15"/>
    </x:row>
    <x:row r="7">
      <x:c r="A7" s="2" t="str">
        <x:v>Beispielallee 14</x:v>
      </x:c>
      <x:c r="B7" s="2"/>
      <x:c r="C7" s="2"/>
      <x:c r="D7" s="2" t="str">
        <x:v>Beispielufer 27</x:v>
      </x:c>
      <x:c r="E7" s="2"/>
      <x:c r="F7" s="12" t="str">
        <x:v>Order date</x:v>
      </x:c>
      <x:c r="G7" s="16" t="str">
        <x:v>18.08.2026</x:v>
      </x:c>
      <x:c r="H7" s="17"/>
    </x:row>
    <x:row r="8">
      <x:c r="A8" s="2" t="str">
        <x:v>10115 Berlin</x:v>
      </x:c>
      <x:c r="B8" s="2"/>
      <x:c r="C8" s="2"/>
      <x:c r="D8" s="2" t="str">
        <x:v>40213 Düsseldorf</x:v>
      </x:c>
      <x:c r="E8" s="2"/>
      <x:c r="F8" s="12" t="str">
        <x:v>Customer number</x:v>
      </x:c>
      <x:c r="G8" s="16" t="str">
        <x:v>48326</x:v>
      </x:c>
      <x:c r="H8" s="17"/>
    </x:row>
    <x:row r="9">
      <x:c r="A9" s="2" t="str">
        <x:v>Germany</x:v>
      </x:c>
      <x:c r="B9" s="2"/>
      <x:c r="C9" s="2"/>
      <x:c r="D9" s="2" t="str">
        <x:v>Germany</x:v>
      </x:c>
      <x:c r="E9" s="2"/>
      <x:c r="F9" s="12" t="str">
        <x:v>Supplier number</x:v>
      </x:c>
      <x:c r="G9" s="16" t="str">
        <x:v>AU-73158</x:v>
      </x:c>
      <x:c r="H9" s="17"/>
    </x:row>
    <x:row r="10">
      <x:c r="A10" s="2"/>
      <x:c r="B10" s="2"/>
      <x:c r="C10" s="2"/>
      <x:c r="D10" s="2"/>
      <x:c r="E10" s="2"/>
      <x:c r="F10" s="12" t="str">
        <x:v>Contact</x:v>
      </x:c>
      <x:c r="G10" s="16" t="str">
        <x:v>Jordan Blake</x:v>
      </x:c>
      <x:c r="H10" s="17"/>
    </x:row>
    <x:row r="11">
      <x:c r="A11" s="9" t="str">
        <x:v>Billing address</x:v>
      </x:c>
      <x:c r="B11" s="10"/>
      <x:c r="C11" s="11"/>
      <x:c r="D11" s="2"/>
      <x:c r="E11" s="2"/>
      <x:c r="F11" s="12" t="str">
        <x:v>Email</x:v>
      </x:c>
      <x:c r="G11" s="18" t="str">
        <x:v>service@northstar-example.com</x:v>
      </x:c>
      <x:c r="H11" s="19"/>
    </x:row>
    <x:row r="12">
      <x:c r="A12" s="20" t="str">
        <x:v>Northstar Commercial Kitchens Ltd., Musterstraße 22, 50667 Köln</x:v>
      </x:c>
      <x:c r="B12" s="20"/>
      <x:c r="C12" s="20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28" customHeight="1">
      <x:c r="A14" s="23" t="str">
        <x:v>Pos.</x:v>
      </x:c>
      <x:c r="B14" s="23" t="str">
        <x:v>Item no.</x:v>
      </x:c>
      <x:c r="C14" s="23" t="str">
        <x:v>Description</x:v>
      </x:c>
      <x:c r="D14" s="23" t="str">
        <x:v>Qty</x:v>
      </x:c>
      <x:c r="E14" s="23" t="str">
        <x:v>Unit</x:v>
      </x:c>
      <x:c r="F14" s="23" t="str">
        <x:v>Unit price</x:v>
      </x:c>
      <x:c r="G14" s="23" t="str">
        <x:v>Discount</x:v>
      </x:c>
      <x:c r="H14" s="23" t="str">
        <x:v>Net amount</x:v>
      </x:c>
    </x:row>
    <x:row r="15" ht="25" customHeight="1">
      <x:c r="A15" s="36" t="n">
        <x:v>1</x:v>
      </x:c>
      <x:c r="B15" s="36" t="str">
        <x:v>NTH-481732</x:v>
      </x:c>
      <x:c r="C15" s="37" t="str">
        <x:v>Peristaltic hose, clear</x:v>
      </x:c>
      <x:c r="D15" s="38" t="n">
        <x:v>1</x:v>
      </x:c>
      <x:c r="E15" s="38" t="str">
        <x:v>pc</x:v>
      </x:c>
      <x:c r="F15" s="39" t="n">
        <x:v>34.8</x:v>
      </x:c>
      <x:c r="G15" s="40" t="n">
        <x:v>0</x:v>
      </x:c>
      <x:c r="H15" s="46" t="n">
        <x:f>D15*F15*(1-G15)</x:f>
        <x:v>34.8</x:v>
      </x:c>
    </x:row>
    <x:row r="16" ht="25" customHeight="1">
      <x:c r="A16" s="41" t="n">
        <x:v>2</x:v>
      </x:c>
      <x:c r="B16" s="41" t="str">
        <x:v>NTH-905284</x:v>
      </x:c>
      <x:c r="C16" s="42" t="str">
        <x:v>Industrial adhesive remover, 400 ml</x:v>
      </x:c>
      <x:c r="D16" s="43" t="n">
        <x:v>2</x:v>
      </x:c>
      <x:c r="E16" s="43" t="str">
        <x:v>pcs</x:v>
      </x:c>
      <x:c r="F16" s="44" t="n">
        <x:v>18.6</x:v>
      </x:c>
      <x:c r="G16" s="45" t="n">
        <x:v>0</x:v>
      </x:c>
      <x:c r="H16" s="47" t="n">
        <x:f>D16*F16*(1-G16)</x:f>
        <x:v>37.2</x:v>
      </x:c>
    </x:row>
    <x:row r="17" ht="25" customHeight="1">
      <x:c r="A17" s="41" t="n">
        <x:v>3</x:v>
      </x:c>
      <x:c r="B17" s="41" t="str">
        <x:v>NTH-627410</x:v>
      </x:c>
      <x:c r="C17" s="42" t="str">
        <x:v>Hexagon screw M6, length 40 mm, pack of 20</x:v>
      </x:c>
      <x:c r="D17" s="43" t="n">
        <x:v>1</x:v>
      </x:c>
      <x:c r="E17" s="43" t="str">
        <x:v>pack</x:v>
      </x:c>
      <x:c r="F17" s="44" t="n">
        <x:v>12.9</x:v>
      </x:c>
      <x:c r="G17" s="45" t="n">
        <x:v>0</x:v>
      </x:c>
      <x:c r="H17" s="47" t="n">
        <x:f>D17*F17*(1-G17)</x:f>
        <x:v>12.9</x:v>
      </x:c>
    </x:row>
    <x:row r="18" ht="25" customHeight="1">
      <x:c r="A18" s="41" t="n">
        <x:v>4</x:v>
      </x:c>
      <x:c r="B18" s="41" t="str">
        <x:v>NTH-627583</x:v>
      </x:c>
      <x:c r="C18" s="42" t="str">
        <x:v>Pan-head screw M4, length 16 mm, pack of 20</x:v>
      </x:c>
      <x:c r="D18" s="43" t="n">
        <x:v>1</x:v>
      </x:c>
      <x:c r="E18" s="43" t="str">
        <x:v>pack</x:v>
      </x:c>
      <x:c r="F18" s="44" t="n">
        <x:v>11.4</x:v>
      </x:c>
      <x:c r="G18" s="45" t="n">
        <x:v>0</x:v>
      </x:c>
      <x:c r="H18" s="47" t="n">
        <x:f>D18*F18*(1-G18)</x:f>
        <x:v>11.4</x:v>
      </x:c>
    </x:row>
    <x:row r="19" ht="25" customHeight="1">
      <x:c r="A19" s="41" t="n">
        <x:v>5</x:v>
      </x:c>
      <x:c r="B19" s="41" t="str">
        <x:v>NTH-627694</x:v>
      </x:c>
      <x:c r="C19" s="42" t="str">
        <x:v>Self-tapping screw, 3.5 x 19 mm, pack of 20</x:v>
      </x:c>
      <x:c r="D19" s="43" t="n">
        <x:v>1</x:v>
      </x:c>
      <x:c r="E19" s="43" t="str">
        <x:v>pack</x:v>
      </x:c>
      <x:c r="F19" s="44" t="n">
        <x:v>10.8</x:v>
      </x:c>
      <x:c r="G19" s="45" t="n">
        <x:v>0</x:v>
      </x:c>
      <x:c r="H19" s="47" t="n">
        <x:f>D19*F19*(1-G19)</x:f>
        <x:v>10.8</x:v>
      </x:c>
    </x:row>
    <x:row r="20" ht="25" customHeight="1">
      <x:c r="A20" s="41" t="n">
        <x:v>6</x:v>
      </x:c>
      <x:c r="B20" s="41" t="str">
        <x:v>NTH-627805</x:v>
      </x:c>
      <x:c r="C20" s="42" t="str">
        <x:v>Washer, ID 10.5 mm, OD 30 mm</x:v>
      </x:c>
      <x:c r="D20" s="43" t="n">
        <x:v>20</x:v>
      </x:c>
      <x:c r="E20" s="43" t="str">
        <x:v>pcs</x:v>
      </x:c>
      <x:c r="F20" s="44" t="n">
        <x:v>0.72</x:v>
      </x:c>
      <x:c r="G20" s="45" t="n">
        <x:v>0</x:v>
      </x:c>
      <x:c r="H20" s="47" t="n">
        <x:f>D20*F20*(1-G20)</x:f>
        <x:v>14.399999999999999</x:v>
      </x:c>
    </x:row>
    <x:row r="21" ht="25" customHeight="1">
      <x:c r="A21" s="41" t="n">
        <x:v>7</x:v>
      </x:c>
      <x:c r="B21" s="41" t="str">
        <x:v>NTH-518294</x:v>
      </x:c>
      <x:c r="C21" s="42" t="str">
        <x:v>Wire-end ferrule 0.75 mm², white collar</x:v>
      </x:c>
      <x:c r="D21" s="43" t="n">
        <x:v>1</x:v>
      </x:c>
      <x:c r="E21" s="43" t="str">
        <x:v>pack</x:v>
      </x:c>
      <x:c r="F21" s="44" t="n">
        <x:v>8.4</x:v>
      </x:c>
      <x:c r="G21" s="45" t="n">
        <x:v>0</x:v>
      </x:c>
      <x:c r="H21" s="47" t="n">
        <x:f>D21*F21*(1-G21)</x:f>
        <x:v>8.4</x:v>
      </x:c>
    </x:row>
    <x:row r="22" ht="25" customHeight="1">
      <x:c r="A22" s="41" t="n">
        <x:v>8</x:v>
      </x:c>
      <x:c r="B22" s="41" t="str">
        <x:v>NTH-518305</x:v>
      </x:c>
      <x:c r="C22" s="42" t="str">
        <x:v>Wire-end ferrule 1.0 mm², yellow collar</x:v>
      </x:c>
      <x:c r="D22" s="43" t="n">
        <x:v>1</x:v>
      </x:c>
      <x:c r="E22" s="43" t="str">
        <x:v>pack</x:v>
      </x:c>
      <x:c r="F22" s="44" t="n">
        <x:v>8.7</x:v>
      </x:c>
      <x:c r="G22" s="45" t="n">
        <x:v>0</x:v>
      </x:c>
      <x:c r="H22" s="47" t="n">
        <x:f>D22*F22*(1-G22)</x:f>
        <x:v>8.7</x:v>
      </x:c>
    </x:row>
    <x:row r="23" ht="25" customHeight="1">
      <x:c r="A23" s="41" t="n">
        <x:v>9</x:v>
      </x:c>
      <x:c r="B23" s="41" t="str">
        <x:v>NTH-518316</x:v>
      </x:c>
      <x:c r="C23" s="42" t="str">
        <x:v>Wire-end ferrule 1.5 mm², red collar</x:v>
      </x:c>
      <x:c r="D23" s="43" t="n">
        <x:v>1</x:v>
      </x:c>
      <x:c r="E23" s="43" t="str">
        <x:v>pack</x:v>
      </x:c>
      <x:c r="F23" s="44" t="n">
        <x:v>9.1</x:v>
      </x:c>
      <x:c r="G23" s="45" t="n">
        <x:v>0</x:v>
      </x:c>
      <x:c r="H23" s="47" t="n">
        <x:f>D23*F23*(1-G23)</x:f>
        <x:v>9.1</x:v>
      </x:c>
    </x:row>
    <x:row r="24" ht="25" customHeight="1">
      <x:c r="A24" s="41" t="n">
        <x:v>10</x:v>
      </x:c>
      <x:c r="B24" s="41" t="str">
        <x:v>NTH-518327</x:v>
      </x:c>
      <x:c r="C24" s="42" t="str">
        <x:v>Wire-end ferrule 2.5 mm², blue collar</x:v>
      </x:c>
      <x:c r="D24" s="43" t="n">
        <x:v>1</x:v>
      </x:c>
      <x:c r="E24" s="43" t="str">
        <x:v>pack</x:v>
      </x:c>
      <x:c r="F24" s="44" t="n">
        <x:v>9.6</x:v>
      </x:c>
      <x:c r="G24" s="45" t="n">
        <x:v>0</x:v>
      </x:c>
      <x:c r="H24" s="47" t="n">
        <x:f>D24*F24*(1-G24)</x:f>
        <x:v>9.6</x:v>
      </x:c>
    </x:row>
    <x:row r="25" ht="25" customHeight="1">
      <x:c r="A25" s="41" t="n">
        <x:v>11</x:v>
      </x:c>
      <x:c r="B25" s="41" t="str">
        <x:v>NTH-518338</x:v>
      </x:c>
      <x:c r="C25" s="42" t="str">
        <x:v>Wire-end ferrule 4.0 mm², grey collar</x:v>
      </x:c>
      <x:c r="D25" s="43" t="n">
        <x:v>1</x:v>
      </x:c>
      <x:c r="E25" s="43" t="str">
        <x:v>pack</x:v>
      </x:c>
      <x:c r="F25" s="44" t="n">
        <x:v>10.2</x:v>
      </x:c>
      <x:c r="G25" s="45" t="n">
        <x:v>0</x:v>
      </x:c>
      <x:c r="H25" s="47" t="n">
        <x:f>D25*F25*(1-G25)</x:f>
        <x:v>10.2</x:v>
      </x:c>
    </x:row>
    <x:row r="26" ht="25" customHeight="1">
      <x:c r="A26" s="41" t="n">
        <x:v>12</x:v>
      </x:c>
      <x:c r="B26" s="41" t="str">
        <x:v>NTH-374286</x:v>
      </x:c>
      <x:c r="C26" s="42" t="str">
        <x:v>Illuminated green rocker switch, 250 V, 20 A</x:v>
      </x:c>
      <x:c r="D26" s="43" t="n">
        <x:v>8</x:v>
      </x:c>
      <x:c r="E26" s="43" t="str">
        <x:v>pcs</x:v>
      </x:c>
      <x:c r="F26" s="44" t="n">
        <x:v>14.3</x:v>
      </x:c>
      <x:c r="G26" s="45" t="n">
        <x:v>0</x:v>
      </x:c>
      <x:c r="H26" s="47" t="n">
        <x:f>D26*F26*(1-G26)</x:f>
        <x:v>114.4</x:v>
      </x:c>
    </x:row>
    <x:row r="27" ht="25" customHeight="1">
      <x:c r="A27" s="41" t="n">
        <x:v>13</x:v>
      </x:c>
      <x:c r="B27" s="41" t="str">
        <x:v>NTH-531842</x:v>
      </x:c>
      <x:c r="C27" s="42" t="str">
        <x:v>Water filter type 4C, capacity 11,000 l</x:v>
      </x:c>
      <x:c r="D27" s="43" t="n">
        <x:v>1</x:v>
      </x:c>
      <x:c r="E27" s="43" t="str">
        <x:v>pc</x:v>
      </x:c>
      <x:c r="F27" s="44" t="n">
        <x:v>86.5</x:v>
      </x:c>
      <x:c r="G27" s="45" t="n">
        <x:v>0</x:v>
      </x:c>
      <x:c r="H27" s="47" t="n">
        <x:f>D27*F27*(1-G27)</x:f>
        <x:v>86.5</x:v>
      </x:c>
    </x:row>
    <x:row r="28" ht="25" customHeight="1">
      <x:c r="A28" s="41" t="n">
        <x:v>14</x:v>
      </x:c>
      <x:c r="B28" s="41" t="str">
        <x:v>NTH-493781</x:v>
      </x:c>
      <x:c r="C28" s="42" t="str">
        <x:v>Drain pump type M231 XP, 50 Hz</x:v>
      </x:c>
      <x:c r="D28" s="43" t="n">
        <x:v>2</x:v>
      </x:c>
      <x:c r="E28" s="43" t="str">
        <x:v>pcs</x:v>
      </x:c>
      <x:c r="F28" s="44" t="n">
        <x:v>48.9</x:v>
      </x:c>
      <x:c r="G28" s="45" t="n">
        <x:v>0</x:v>
      </x:c>
      <x:c r="H28" s="47" t="n">
        <x:f>D28*F28*(1-G28)</x:f>
        <x:v>97.8</x:v>
      </x:c>
    </x:row>
    <x:row r="29" ht="25" customHeight="1">
      <x:c r="A29" s="41" t="n">
        <x:v>15</x:v>
      </x:c>
      <x:c r="B29" s="41" t="str">
        <x:v>NTH-518402</x:v>
      </x:c>
      <x:c r="C29" s="42" t="str">
        <x:v>CEE7/7 plug, type E+F, straight</x:v>
      </x:c>
      <x:c r="D29" s="43" t="n">
        <x:v>2</x:v>
      </x:c>
      <x:c r="E29" s="43" t="str">
        <x:v>pcs</x:v>
      </x:c>
      <x:c r="F29" s="44" t="n">
        <x:v>9.8</x:v>
      </x:c>
      <x:c r="G29" s="45" t="n">
        <x:v>0</x:v>
      </x:c>
      <x:c r="H29" s="47" t="n">
        <x:f>D29*F29*(1-G29)</x:f>
        <x:v>19.6</x:v>
      </x:c>
    </x:row>
    <x:row r="30" ht="25" customHeight="1">
      <x:c r="A30" s="41" t="n">
        <x:v>16</x:v>
      </x:c>
      <x:c r="B30" s="41" t="str">
        <x:v>NTH-519204</x:v>
      </x:c>
      <x:c r="C30" s="42" t="str">
        <x:v>Power cable CEE7/7, 2.5 mm², 2 m</x:v>
      </x:c>
      <x:c r="D30" s="43" t="n">
        <x:v>2</x:v>
      </x:c>
      <x:c r="E30" s="43" t="str">
        <x:v>pcs</x:v>
      </x:c>
      <x:c r="F30" s="44" t="n">
        <x:v>22.4</x:v>
      </x:c>
      <x:c r="G30" s="45" t="n">
        <x:v>0</x:v>
      </x:c>
      <x:c r="H30" s="47" t="n">
        <x:f>D30*F30*(1-G30)</x:f>
        <x:v>44.8</x:v>
      </x:c>
    </x:row>
    <x:row r="31" ht="25" customHeight="1">
      <x:c r="A31" s="41" t="n">
        <x:v>17</x:v>
      </x:c>
      <x:c r="B31" s="41" t="str">
        <x:v>NTH-519398</x:v>
      </x:c>
      <x:c r="C31" s="42" t="str">
        <x:v>Cable ties, black, 200 mm, pack of 100</x:v>
      </x:c>
      <x:c r="D31" s="43" t="n">
        <x:v>2</x:v>
      </x:c>
      <x:c r="E31" s="43" t="str">
        <x:v>packs</x:v>
      </x:c>
      <x:c r="F31" s="44" t="n">
        <x:v>7.2</x:v>
      </x:c>
      <x:c r="G31" s="45" t="n">
        <x:v>0</x:v>
      </x:c>
      <x:c r="H31" s="47" t="n">
        <x:f>D31*F31*(1-G31)</x:f>
        <x:v>14.4</x:v>
      </x:c>
    </x:row>
    <x:row r="32" ht="25" customHeight="1">
      <x:c r="A32" s="41" t="n">
        <x:v>18</x:v>
      </x:c>
      <x:c r="B32" s="41" t="str">
        <x:v>NTH-517204</x:v>
      </x:c>
      <x:c r="C32" s="42" t="str">
        <x:v>PVC insulating tape, black, 10 m</x:v>
      </x:c>
      <x:c r="D32" s="43" t="n">
        <x:v>2</x:v>
      </x:c>
      <x:c r="E32" s="43" t="str">
        <x:v>pcs</x:v>
      </x:c>
      <x:c r="F32" s="44" t="n">
        <x:v>3.1</x:v>
      </x:c>
      <x:c r="G32" s="45" t="n">
        <x:v>0</x:v>
      </x:c>
      <x:c r="H32" s="47" t="n">
        <x:f>D32*F32*(1-G32)</x:f>
        <x:v>6.2</x:v>
      </x:c>
    </x:row>
    <x:row r="33" ht="25" customHeight="1">
      <x:c r="A33" s="41" t="n">
        <x:v>19</x:v>
      </x:c>
      <x:c r="B33" s="41" t="str">
        <x:v>NTH-517215</x:v>
      </x:c>
      <x:c r="C33" s="42" t="str">
        <x:v>PVC insulating tape, white, 10 m</x:v>
      </x:c>
      <x:c r="D33" s="43" t="n">
        <x:v>2</x:v>
      </x:c>
      <x:c r="E33" s="43" t="str">
        <x:v>pcs</x:v>
      </x:c>
      <x:c r="F33" s="44" t="n">
        <x:v>3.1</x:v>
      </x:c>
      <x:c r="G33" s="45" t="n">
        <x:v>0</x:v>
      </x:c>
      <x:c r="H33" s="47" t="n">
        <x:f>D33*F33*(1-G33)</x:f>
        <x:v>6.2</x:v>
      </x:c>
    </x:row>
    <x:row r="34" ht="25" customHeight="1">
      <x:c r="A34" s="41" t="n">
        <x:v>20</x:v>
      </x:c>
      <x:c r="B34" s="41" t="str">
        <x:v>NTH-517226</x:v>
      </x:c>
      <x:c r="C34" s="42" t="str">
        <x:v>PVC insulating tape, blue, 10 m</x:v>
      </x:c>
      <x:c r="D34" s="43" t="n">
        <x:v>2</x:v>
      </x:c>
      <x:c r="E34" s="43" t="str">
        <x:v>pcs</x:v>
      </x:c>
      <x:c r="F34" s="44" t="n">
        <x:v>3.1</x:v>
      </x:c>
      <x:c r="G34" s="45" t="n">
        <x:v>0</x:v>
      </x:c>
      <x:c r="H34" s="47" t="n">
        <x:f>D34*F34*(1-G34)</x:f>
        <x:v>6.2</x:v>
      </x:c>
    </x:row>
    <x:row r="35" ht="25" customHeight="1">
      <x:c r="A35" s="41" t="n">
        <x:v>21</x:v>
      </x:c>
      <x:c r="B35" s="41" t="str">
        <x:v>NTH-517824</x:v>
      </x:c>
      <x:c r="C35" s="42" t="str">
        <x:v>Nickel-plated copper stranded wire, 1.5 mm²</x:v>
      </x:c>
      <x:c r="D35" s="43" t="n">
        <x:v>1</x:v>
      </x:c>
      <x:c r="E35" s="43" t="str">
        <x:v>roll</x:v>
      </x:c>
      <x:c r="F35" s="44" t="n">
        <x:v>42.8</x:v>
      </x:c>
      <x:c r="G35" s="45" t="n">
        <x:v>0</x:v>
      </x:c>
      <x:c r="H35" s="47" t="n">
        <x:f>D35*F35*(1-G35)</x:f>
        <x:v>42.8</x:v>
      </x:c>
    </x:row>
    <x:row r="36" ht="25" customHeight="1">
      <x:c r="A36" s="41" t="n">
        <x:v>22</x:v>
      </x:c>
      <x:c r="B36" s="41" t="str">
        <x:v>NTH-804236</x:v>
      </x:c>
      <x:c r="C36" s="42" t="str">
        <x:v>Electronics solder, 1 mm, 30 g</x:v>
      </x:c>
      <x:c r="D36" s="43" t="n">
        <x:v>1</x:v>
      </x:c>
      <x:c r="E36" s="43" t="str">
        <x:v>pc</x:v>
      </x:c>
      <x:c r="F36" s="44" t="n">
        <x:v>16.9</x:v>
      </x:c>
      <x:c r="G36" s="45" t="n">
        <x:v>0</x:v>
      </x:c>
      <x:c r="H36" s="47" t="n">
        <x:f>D36*F36*(1-G36)</x:f>
        <x:v>16.9</x:v>
      </x:c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50" t="str">
        <x:v>Subtotal</x:v>
      </x:c>
      <x:c r="G38" s="48"/>
      <x:c r="H38" s="53" t="n">
        <x:f>SUM(H15:H36)</x:f>
        <x:v>623.3000000000001</x:v>
      </x:c>
    </x:row>
    <x:row r="39">
      <x:c r="A39" s="2"/>
      <x:c r="B39" s="2"/>
      <x:c r="C39" s="2"/>
      <x:c r="D39" s="2"/>
      <x:c r="E39" s="2"/>
      <x:c r="F39" s="12" t="str">
        <x:v>VAT</x:v>
      </x:c>
      <x:c r="G39" s="52" t="n">
        <x:v>0.19</x:v>
      </x:c>
      <x:c r="H39" s="54" t="n">
        <x:f>H38*G39</x:f>
        <x:v>118.42700000000002</x:v>
      </x:c>
    </x:row>
    <x:row r="40">
      <x:c r="A40" s="2"/>
      <x:c r="B40" s="2"/>
      <x:c r="C40" s="2"/>
      <x:c r="D40" s="2"/>
      <x:c r="E40" s="2"/>
      <x:c r="F40" s="61" t="str">
        <x:v>Total</x:v>
      </x:c>
      <x:c r="G40" s="61"/>
      <x:c r="H40" s="62" t="n">
        <x:f>H38+H39</x:f>
        <x:v>741.7270000000001</x:v>
      </x:c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9" t="str">
        <x:v>Order notes</x:v>
      </x:c>
      <x:c r="B43" s="10"/>
      <x:c r="C43" s="10"/>
      <x:c r="D43" s="10"/>
      <x:c r="E43" s="10"/>
      <x:c r="F43" s="10"/>
      <x:c r="G43" s="10"/>
      <x:c r="H43" s="11"/>
    </x:row>
    <x:row r="44" ht="20" customHeight="1">
      <x:c r="A44" s="64" t="str">
        <x:v>Service order reference: SR-482716-9.</x:v>
      </x:c>
      <x:c r="B44" s="64"/>
      <x:c r="C44" s="64"/>
      <x:c r="D44" s="64"/>
      <x:c r="E44" s="64"/>
      <x:c r="F44" s="64"/>
      <x:c r="G44" s="64"/>
      <x:c r="H44" s="64"/>
    </x:row>
    <x:row r="45" ht="20" customHeight="1">
      <x:c r="A45" s="64" t="str">
        <x:v>Please use the revised delivery address shown above.</x:v>
      </x:c>
      <x:c r="B45" s="64"/>
      <x:c r="C45" s="64"/>
      <x:c r="D45" s="64"/>
      <x:c r="E45" s="64"/>
      <x:c r="F45" s="64"/>
      <x:c r="G45" s="64"/>
      <x:c r="H45" s="64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67" t="str">
        <x:v>NORTHSTAR COMMERCIAL KITCHENS | Musterstraße 22 | 50667 Köln | service@northstar-example.com</x:v>
      </x:c>
      <x:c r="B47" s="67"/>
      <x:c r="C47" s="67"/>
      <x:c r="D47" s="67"/>
      <x:c r="E47" s="67"/>
      <x:c r="F47" s="67"/>
      <x:c r="G47" s="67"/>
      <x:c r="H47" s="67"/>
    </x:row>
  </x:sheetData>
  <x:mergeCells>
    <x:mergeCell ref="A2:D3"/>
    <x:mergeCell ref="F2:H3"/>
    <x:mergeCell ref="A5:C5"/>
    <x:mergeCell ref="D5:E5"/>
    <x:mergeCell ref="F5:H5"/>
    <x:mergeCell ref="G6:H6"/>
    <x:mergeCell ref="G7:H7"/>
    <x:mergeCell ref="G8:H8"/>
    <x:mergeCell ref="G9:H9"/>
    <x:mergeCell ref="G10:H10"/>
    <x:mergeCell ref="G11:H11"/>
    <x:mergeCell ref="A11:C11"/>
    <x:mergeCell ref="A12:C12"/>
    <x:mergeCell ref="A43:H43"/>
    <x:mergeCell ref="A44:H44"/>
    <x:mergeCell ref="A45:H45"/>
    <x:mergeCell ref="A47:H47"/>
  </x:mergeCells>
  <x:pageMargins left="0.7" right="0.7" top="0.75" bottom="0.75" header="0.3" footer="0.3"/>
</x:worksheet>
</file>
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995f615c0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 Order" sheetId="1" r:id="R00bf0671386a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€&quot;#,##0.00"/>
    <x:numFmt numFmtId="201" formatCode="0.0%"/>
    <x:numFmt numFmtId="202" formatCode="0%"/>
  </x:numFmts>
  <x:fonts count="10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b/>
      <x:sz val="16"/>
      <x:color rgb="FF173B63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  <x:font>
      <x:i/>
      <x:sz val="9"/>
      <x:color rgb="FF172033"/>
      <x:name val="Arial"/>
    </x:font>
    <x:font>
      <x:b/>
      <x:sz val="11"/>
      <x:color rgb="FF173B63"/>
      <x:name val="Arial"/>
    </x:font>
    <x:font>
      <x:sz val="9"/>
      <x:color rgb="FF172033"/>
      <x:name val="Arial"/>
    </x:font>
    <x:font>
      <x:i/>
      <x:sz val="8"/>
      <x:color rgb="FF66708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B63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9EEF5"/>
      </x:patternFill>
    </x:fill>
  </x:fills>
  <x:borders count="17">
    <x:border/>
    <x:border>
      <x:left style="thin">
        <x:color rgb="FF173B63"/>
      </x:left>
      <x:top style="thin">
        <x:color rgb="FF173B63"/>
      </x:top>
      <x:bottom style="thin">
        <x:color rgb="FF173B63"/>
      </x:bottom>
    </x:border>
    <x:border>
      <x:top style="thin">
        <x:color rgb="FF173B63"/>
      </x:top>
      <x:bottom style="thin">
        <x:color rgb="FF173B63"/>
      </x:bottom>
    </x:border>
    <x:border>
      <x:right style="thin">
        <x:color rgb="FF173B63"/>
      </x:right>
      <x:top style="thin">
        <x:color rgb="FF173B63"/>
      </x:top>
      <x:bottom style="thin">
        <x:color rgb="FF173B63"/>
      </x:bottom>
    </x:border>
    <x:border>
      <x:left style="thin">
        <x:color rgb="FFD7DCE5"/>
      </x:left>
      <x:top style="thin">
        <x:color rgb="FFD7DCE5"/>
      </x:top>
    </x:border>
    <x:border>
      <x:right style="thin">
        <x:color rgb="FFD7DCE5"/>
      </x:right>
      <x:top style="thin">
        <x:color rgb="FFD7DCE5"/>
      </x:top>
    </x:border>
    <x:border>
      <x:left style="thin">
        <x:color rgb="FFD7DCE5"/>
      </x:left>
    </x:border>
    <x:border>
      <x:right style="thin">
        <x:color rgb="FFD7DCE5"/>
      </x:right>
    </x:border>
    <x:border>
      <x:left style="thin">
        <x:color rgb="FFD7DCE5"/>
      </x:left>
      <x:bottom style="thin">
        <x:color rgb="FFD7DCE5"/>
      </x:bottom>
    </x:border>
    <x:border>
      <x:right style="thin">
        <x:color rgb="FFD7DCE5"/>
      </x:right>
      <x:bottom style="thin">
        <x:color rgb="FFD7DCE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7DCE5"/>
      </x:bottom>
    </x:border>
    <x:border>
      <x:top style="thin">
        <x:color rgb="FFD7DCE5"/>
      </x:top>
      <x:bottom style="thin">
        <x:color rgb="FFD7DCE5"/>
      </x:bottom>
    </x:border>
    <x:border>
      <x:top style="thin">
        <x:color rgb="FF173B63"/>
      </x:top>
    </x:border>
    <x:border>
      <x:bottom style="thin">
        <x:color rgb="FF173B63"/>
      </x:bottom>
    </x:border>
    <x:border>
      <x:bottom style="double">
        <x:color rgb="FF173B63"/>
      </x:bottom>
    </x:border>
    <x:border>
      <x:top style="thin">
        <x:color rgb="FFD7DCE5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2" borderId="10" xfId="0" applyNumberFormat="1" applyFont="1" applyFill="1" applyBorder="1" applyAlignment="1">
      <x:alignment vertical="center"/>
    </x:xf>
    <x:xf numFmtId="0" fontId="4" fillId="2" borderId="10" xfId="0" applyNumberFormat="1" applyFont="1" applyFill="1" applyBorder="1" applyAlignment="1">
      <x:alignment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horizontal="center" vertical="center"/>
    </x:xf>
    <x:xf numFmtId="200" fontId="1" fillId="0" borderId="11" xfId="0" applyNumberFormat="1" applyFont="1" applyFill="1" applyBorder="1" applyAlignment="1">
      <x:alignment vertical="center"/>
    </x:xf>
    <x:xf numFmtId="200" fontId="1" fillId="0" borderId="12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horizontal="center" vertical="center"/>
    </x:xf>
    <x:xf numFmtId="200" fontId="1" fillId="3" borderId="11" xfId="0" applyNumberFormat="1" applyFont="1" applyFill="1" applyBorder="1" applyAlignment="1">
      <x:alignment vertical="center"/>
    </x:xf>
    <x:xf numFmtId="201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horizontal="center" vertical="center"/>
    </x:xf>
    <x:xf numFmtId="200" fontId="1" fillId="3" borderId="12" xfId="0" applyNumberFormat="1" applyFont="1" applyFill="1" applyBorder="1" applyAlignment="1">
      <x:alignment vertical="center"/>
    </x:xf>
    <x:xf numFmtId="201" fontId="1" fillId="3" borderId="12" xfId="0" applyNumberFormat="1" applyFont="1" applyFill="1" applyBorder="1" applyAlignment="1">
      <x:alignment vertical="center"/>
    </x:xf>
    <x:xf numFmtId="200" fontId="1" fillId="4" borderId="11" xfId="0" applyNumberFormat="1" applyFont="1" applyFill="1" applyBorder="1" applyAlignment="1">
      <x:alignment vertical="center"/>
    </x:xf>
    <x:xf numFmtId="200" fontId="1" fillId="4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5" fillId="0" borderId="14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1" fillId="0" borderId="13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4" xfId="0" applyNumberFormat="1" applyFont="1" applyFill="1" applyBorder="1" applyAlignment="1">
      <x:alignment vertical="center"/>
    </x:xf>
    <x:xf numFmtId="0" fontId="5" fillId="5" borderId="14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center"/>
    </x:xf>
    <x:xf numFmtId="200" fontId="1" fillId="5" borderId="14" xfId="0" applyNumberFormat="1" applyFont="1" applyFill="1" applyBorder="1" applyAlignment="1">
      <x:alignment vertical="center"/>
    </x:xf>
    <x:xf numFmtId="0" fontId="7" fillId="5" borderId="14" xfId="0" applyNumberFormat="1" applyFont="1" applyFill="1" applyBorder="1" applyAlignment="1">
      <x:alignment vertical="center"/>
    </x:xf>
    <x:xf numFmtId="200" fontId="7" fillId="5" borderId="14" xfId="0" applyNumberFormat="1" applyFont="1" applyFill="1" applyBorder="1" applyAlignment="1">
      <x:alignment vertical="center"/>
    </x:xf>
    <x:xf numFmtId="0" fontId="7" fillId="5" borderId="15" xfId="0" applyNumberFormat="1" applyFont="1" applyFill="1" applyBorder="1" applyAlignment="1">
      <x:alignment vertical="center"/>
    </x:xf>
    <x:xf numFmtId="200" fontId="7" fillId="5" borderId="15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c1e02e91e4368" /><Relationship Type="http://schemas.openxmlformats.org/officeDocument/2006/relationships/theme" Target="/xl/theme/theme1.xml" Id="R1edffcfe075b4bdd" /><Relationship Type="http://schemas.openxmlformats.org/officeDocument/2006/relationships/sharedStrings" Target="/xl/sharedStrings.xml" Id="Rc0f6b134ce784432" /><Relationship Type="http://schemas.openxmlformats.org/officeDocument/2006/relationships/worksheet" Target="/xl/worksheets/sheet1.xml" Id="R00bf0671386a4b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B63"/>
  </x:sheetPr>
  <x:sheetViews>
    <x:sheetView showGridLines="0" workbookViewId="0"/>
  </x:sheetViews>
  <x:sheetFormatPr defaultRowHeight="15"/>
  <x:cols>
    <x:col min="1" max="1" width="7" hidden="0" customWidth="1"/>
    <x:col min="2" max="2" width="17" hidden="0" customWidth="1"/>
    <x:col min="3" max="3" width="43" hidden="0" customWidth="1"/>
    <x:col min="4" max="4" width="10" hidden="0" customWidth="1"/>
    <x:col min="5" max="5" width="10" hidden="0" customWidth="1"/>
    <x:col min="6" max="6" width="14" hidden="0" customWidth="1"/>
    <x:col min="7" max="7" width="12" hidden="0" customWidth="1"/>
    <x:col min="8" max="8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5" t="str">
        <x:v>NORTHBRIDGE CATERING SYSTEMS</x:v>
      </x:c>
      <x:c r="B2" s="5"/>
      <x:c r="C2" s="5"/>
      <x:c r="D2" s="5"/>
      <x:c r="E2" s="2"/>
      <x:c r="F2" s="7" t="str">
        <x:v>PURCHASE ORDER</x:v>
      </x:c>
      <x:c r="G2" s="7"/>
      <x:c r="H2" s="7"/>
    </x:row>
    <x:row r="3" ht="24" customHeight="1">
      <x:c r="A3" s="5"/>
      <x:c r="B3" s="5"/>
      <x:c r="C3" s="5"/>
      <x:c r="D3" s="5"/>
      <x:c r="E3" s="2"/>
      <x:c r="F3" s="7"/>
      <x:c r="G3" s="7"/>
      <x:c r="H3" s="7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9" t="str">
        <x:v>Supplier</x:v>
      </x:c>
      <x:c r="B5" s="10"/>
      <x:c r="C5" s="11"/>
      <x:c r="D5" s="9" t="str">
        <x:v>Delivery address</x:v>
      </x:c>
      <x:c r="E5" s="11"/>
      <x:c r="F5" s="9" t="str">
        <x:v>Order details</x:v>
      </x:c>
      <x:c r="G5" s="10"/>
      <x:c r="H5" s="11"/>
    </x:row>
    <x:row r="6">
      <x:c r="A6" s="2" t="str">
        <x:v>Aurora Parts Deutschland GmbH</x:v>
      </x:c>
      <x:c r="B6" s="2"/>
      <x:c r="C6" s="2"/>
      <x:c r="D6" s="2" t="str">
        <x:v>Northbridge Catering Systems Ltd.</x:v>
      </x:c>
      <x:c r="E6" s="2"/>
      <x:c r="F6" s="12" t="str">
        <x:v>Order number</x:v>
      </x:c>
      <x:c r="G6" s="14" t="str">
        <x:v>PO-7642091</x:v>
      </x:c>
      <x:c r="H6" s="15"/>
    </x:row>
    <x:row r="7">
      <x:c r="A7" s="2" t="str">
        <x:v>Beispielallee 14</x:v>
      </x:c>
      <x:c r="B7" s="2"/>
      <x:c r="C7" s="2"/>
      <x:c r="D7" s="2" t="str">
        <x:v>Musterkai 16</x:v>
      </x:c>
      <x:c r="E7" s="2"/>
      <x:c r="F7" s="12" t="str">
        <x:v>Order date</x:v>
      </x:c>
      <x:c r="G7" s="16" t="str">
        <x:v>18.08.2026</x:v>
      </x:c>
      <x:c r="H7" s="17"/>
    </x:row>
    <x:row r="8">
      <x:c r="A8" s="2" t="str">
        <x:v>10115 Berlin</x:v>
      </x:c>
      <x:c r="B8" s="2"/>
      <x:c r="C8" s="2"/>
      <x:c r="D8" s="2" t="str">
        <x:v>20457 Hamburg</x:v>
      </x:c>
      <x:c r="E8" s="2"/>
      <x:c r="F8" s="12" t="str">
        <x:v>Customer number</x:v>
      </x:c>
      <x:c r="G8" s="16" t="str">
        <x:v>58264</x:v>
      </x:c>
      <x:c r="H8" s="17"/>
    </x:row>
    <x:row r="9">
      <x:c r="A9" s="2" t="str">
        <x:v>Germany</x:v>
      </x:c>
      <x:c r="B9" s="2"/>
      <x:c r="C9" s="2"/>
      <x:c r="D9" s="2" t="str">
        <x:v>Germany</x:v>
      </x:c>
      <x:c r="E9" s="2"/>
      <x:c r="F9" s="12" t="str">
        <x:v>Supplier number</x:v>
      </x:c>
      <x:c r="G9" s="16" t="str">
        <x:v>8304721</x:v>
      </x:c>
      <x:c r="H9" s="17"/>
    </x:row>
    <x:row r="10">
      <x:c r="A10" s="2"/>
      <x:c r="B10" s="2"/>
      <x:c r="C10" s="2"/>
      <x:c r="D10" s="2"/>
      <x:c r="E10" s="2"/>
      <x:c r="F10" s="12" t="str">
        <x:v>Contact</x:v>
      </x:c>
      <x:c r="G10" s="16" t="str">
        <x:v>Morgan Reed</x:v>
      </x:c>
      <x:c r="H10" s="17"/>
    </x:row>
    <x:row r="11">
      <x:c r="A11" s="9" t="str">
        <x:v>Billing address</x:v>
      </x:c>
      <x:c r="B11" s="10"/>
      <x:c r="C11" s="11"/>
      <x:c r="D11" s="2"/>
      <x:c r="E11" s="2"/>
      <x:c r="F11" s="12" t="str">
        <x:v>Email</x:v>
      </x:c>
      <x:c r="G11" s="18" t="str">
        <x:v>procurement@northbridge-example.com</x:v>
      </x:c>
      <x:c r="H11" s="19"/>
    </x:row>
    <x:row r="12">
      <x:c r="A12" s="20" t="str">
        <x:v>Northbridge Catering Systems Ltd., Beispielweg 29, 20095 Hamburg</x:v>
      </x:c>
      <x:c r="B12" s="20"/>
      <x:c r="C12" s="20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 ht="28" customHeight="1">
      <x:c r="A14" s="23" t="str">
        <x:v>Pos.</x:v>
      </x:c>
      <x:c r="B14" s="23" t="str">
        <x:v>Item no.</x:v>
      </x:c>
      <x:c r="C14" s="23" t="str">
        <x:v>Description</x:v>
      </x:c>
      <x:c r="D14" s="23" t="str">
        <x:v>Qty</x:v>
      </x:c>
      <x:c r="E14" s="23" t="str">
        <x:v>Unit</x:v>
      </x:c>
      <x:c r="F14" s="23" t="str">
        <x:v>Unit price</x:v>
      </x:c>
      <x:c r="G14" s="23" t="str">
        <x:v>Discount</x:v>
      </x:c>
      <x:c r="H14" s="23" t="str">
        <x:v>Net amount</x:v>
      </x:c>
    </x:row>
    <x:row r="15" ht="32" customHeight="1">
      <x:c r="A15" s="36" t="n">
        <x:v>1</x:v>
      </x:c>
      <x:c r="B15" s="36" t="str">
        <x:v>7842136</x:v>
      </x:c>
      <x:c r="C15" s="37" t="str">
        <x:v>Tubular heating element, 6,000 W, 400/415 V</x:v>
      </x:c>
      <x:c r="D15" s="38" t="n">
        <x:v>5</x:v>
      </x:c>
      <x:c r="E15" s="38" t="str">
        <x:v>pcs</x:v>
      </x:c>
      <x:c r="F15" s="39" t="n">
        <x:v>223.6</x:v>
      </x:c>
      <x:c r="G15" s="40" t="n">
        <x:v>0</x:v>
      </x:c>
      <x:c r="H15" s="46" t="n">
        <x:f>D15*F15*(1-G15)</x:f>
        <x:v>1118</x:v>
      </x:c>
    </x:row>
    <x:row r="16" ht="32" customHeight="1">
      <x:c r="A16" s="41" t="n">
        <x:v>2</x:v>
      </x:c>
      <x:c r="B16" s="41" t="str">
        <x:v>628450</x:v>
      </x:c>
      <x:c r="C16" s="42" t="str">
        <x:v>Mounting kit for heating element</x:v>
      </x:c>
      <x:c r="D16" s="43" t="n">
        <x:v>5</x:v>
      </x:c>
      <x:c r="E16" s="43" t="str">
        <x:v>sets</x:v>
      </x:c>
      <x:c r="F16" s="44" t="n">
        <x:v>18.4</x:v>
      </x:c>
      <x:c r="G16" s="45" t="n">
        <x:v>0</x:v>
      </x:c>
      <x:c r="H16" s="47" t="n">
        <x:f>D16*F16*(1-G16)</x:f>
        <x:v>92</x:v>
      </x:c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50" t="str">
        <x:v>Subtotal</x:v>
      </x:c>
      <x:c r="G18" s="48"/>
      <x:c r="H18" s="53" t="n">
        <x:f>SUM(H15:H16)</x:f>
        <x:v>1210</x:v>
      </x:c>
    </x:row>
    <x:row r="19">
      <x:c r="A19" s="2"/>
      <x:c r="B19" s="2"/>
      <x:c r="C19" s="2"/>
      <x:c r="D19" s="2"/>
      <x:c r="E19" s="2"/>
      <x:c r="F19" s="12" t="str">
        <x:v>VAT</x:v>
      </x:c>
      <x:c r="G19" s="52" t="n">
        <x:v>0.19</x:v>
      </x:c>
      <x:c r="H19" s="54" t="n">
        <x:f>H18*G19</x:f>
        <x:v>229.9</x:v>
      </x:c>
    </x:row>
    <x:row r="20">
      <x:c r="A20" s="2"/>
      <x:c r="B20" s="2"/>
      <x:c r="C20" s="2"/>
      <x:c r="D20" s="2"/>
      <x:c r="E20" s="2"/>
      <x:c r="F20" s="61" t="str">
        <x:v>Total</x:v>
      </x:c>
      <x:c r="G20" s="61"/>
      <x:c r="H20" s="62" t="n">
        <x:f>H18+H19</x:f>
        <x:v>1439.9</x:v>
      </x:c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9" t="str">
        <x:v>Order notes</x:v>
      </x:c>
      <x:c r="B23" s="10"/>
      <x:c r="C23" s="10"/>
      <x:c r="D23" s="10"/>
      <x:c r="E23" s="10"/>
      <x:c r="F23" s="10"/>
      <x:c r="G23" s="10"/>
      <x:c r="H23" s="11"/>
    </x:row>
    <x:row r="24" ht="20" customHeight="1">
      <x:c r="A24" s="64" t="str">
        <x:v>Payment terms: payment in advance.</x:v>
      </x:c>
      <x:c r="B24" s="64"/>
      <x:c r="C24" s="64"/>
      <x:c r="D24" s="64"/>
      <x:c r="E24" s="64"/>
      <x:c r="F24" s="64"/>
      <x:c r="G24" s="64"/>
      <x:c r="H24" s="64"/>
    </x:row>
    <x:row r="25" ht="20" customHeight="1">
      <x:c r="A25" s="64" t="str">
        <x:v>Please send the order confirmation within two working days and quote the order number on all documents.</x:v>
      </x:c>
      <x:c r="B25" s="64"/>
      <x:c r="C25" s="64"/>
      <x:c r="D25" s="64"/>
      <x:c r="E25" s="64"/>
      <x:c r="F25" s="64"/>
      <x:c r="G25" s="64"/>
      <x:c r="H25" s="64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67" t="str">
        <x:v>NORTHBRIDGE CATERING SYSTEMS | Musterkai 16 | 20457 Hamburg | orders@northbridge-example.com</x:v>
      </x:c>
      <x:c r="B27" s="67"/>
      <x:c r="C27" s="67"/>
      <x:c r="D27" s="67"/>
      <x:c r="E27" s="67"/>
      <x:c r="F27" s="67"/>
      <x:c r="G27" s="67"/>
      <x:c r="H27" s="67"/>
    </x:row>
  </x:sheetData>
  <x:mergeCells>
    <x:mergeCell ref="A2:D3"/>
    <x:mergeCell ref="F2:H3"/>
    <x:mergeCell ref="A5:C5"/>
    <x:mergeCell ref="D5:E5"/>
    <x:mergeCell ref="F5:H5"/>
    <x:mergeCell ref="G6:H6"/>
    <x:mergeCell ref="G7:H7"/>
    <x:mergeCell ref="G8:H8"/>
    <x:mergeCell ref="G9:H9"/>
    <x:mergeCell ref="G10:H10"/>
    <x:mergeCell ref="G11:H11"/>
    <x:mergeCell ref="A11:C11"/>
    <x:mergeCell ref="A12:C12"/>
    <x:mergeCell ref="A23:H23"/>
    <x:mergeCell ref="A24:H24"/>
    <x:mergeCell ref="A25:H25"/>
    <x:mergeCell ref="A27:H27"/>
  </x:mergeCells>
  <x:pageMargins left="0.7" right="0.7" top="0.75" bottom="0.75" header="0.3" footer="0.3"/>
</x:worksheet>
</file>
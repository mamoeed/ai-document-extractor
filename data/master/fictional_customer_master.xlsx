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10a4daf8c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Master" sheetId="1" r:id="R8f54c4b8f3214541"/>
    <x:sheet xmlns:r="http://schemas.openxmlformats.org/officeDocument/2006/relationships" name="Test Scenarios" sheetId="2" r:id="R65c443b33dec49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b/>
      <x:sz val="15"/>
      <x:color rgb="FF0D8294"/>
      <x:name val="Arial"/>
    </x:font>
    <x:font>
      <x:i/>
      <x:sz val="9"/>
      <x:color rgb="FF667085"/>
      <x:name val="Arial"/>
    </x:font>
    <x:font>
      <x:b/>
      <x:sz val="10"/>
      <x:color rgb="FFFFFFFF"/>
      <x:name val="Arial"/>
    </x:font>
    <x:font>
      <x:sz val="9"/>
      <x:color rgb="FF172033"/>
      <x:name val="Arial"/>
    </x:font>
    <x:font>
      <x:sz val="10"/>
      <x:color rgb="FF1720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D8294"/>
      </x:patternFill>
    </x:fill>
    <x:fill>
      <x:patternFill patternType="solid">
        <x:fgColor rgb="FFEAF2F8"/>
      </x:patternFill>
    </x:fill>
  </x:fills>
  <x:borders count="5">
    <x:border/>
    <x:border>
      <x:bottom style="thin">
        <x:color rgb="FFD7DCE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top style="thin">
        <x:color rgb="FFD7DCE5"/>
      </x:top>
      <x:bottom style="thin">
        <x:color rgb="FFD7DCE5"/>
      </x:bottom>
    </x:border>
    <x:border>
      <x:top style="thin">
        <x:color rgb="FFD7DCE5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200" fontId="4" fillId="0" borderId="1" xfId="0" applyNumberFormat="1" applyFont="1" applyFill="1" applyBorder="1"/>
    <x:xf numFmtId="200" fontId="4" fillId="0" borderId="3" xfId="0" applyNumberFormat="1" applyFont="1" applyFill="1" applyBorder="1"/>
    <x:xf numFmtId="200" fontId="4" fillId="0" borderId="4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200" fontId="5" fillId="0" borderId="1" xfId="0" applyNumberFormat="1" applyFont="1" applyFill="1" applyBorder="1"/>
    <x:xf numFmtId="200" fontId="5" fillId="0" borderId="3" xfId="0" applyNumberFormat="1" applyFont="1" applyFill="1" applyBorder="1"/>
    <x:xf numFmtId="201" fontId="5" fillId="0" borderId="1" xfId="0" applyNumberFormat="1" applyFont="1" applyFill="1" applyBorder="1"/>
    <x:xf numFmtId="201" fontId="5" fillId="0" borderId="3" xfId="0" applyNumberFormat="1" applyFont="1" applyFill="1" applyBorder="1"/>
    <x:xf numFmtId="201" fontId="5" fillId="0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/>
    </x:xf>
    <x:xf numFmtId="201" fontId="5" fillId="0" borderId="3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2e4651a214bba" /><Relationship Type="http://schemas.openxmlformats.org/officeDocument/2006/relationships/theme" Target="/xl/theme/theme1.xml" Id="R99b3409e8c764b3e" /><Relationship Type="http://schemas.openxmlformats.org/officeDocument/2006/relationships/sharedStrings" Target="/xl/sharedStrings.xml" Id="R60c03356ab2b42d8" /><Relationship Type="http://schemas.openxmlformats.org/officeDocument/2006/relationships/worksheet" Target="/xl/worksheets/sheet1.xml" Id="R8f54c4b8f3214541" /><Relationship Type="http://schemas.openxmlformats.org/officeDocument/2006/relationships/worksheet" Target="/xl/worksheets/sheet2.xml" Id="R65c443b33dec494f" /></Relationships>
</file>

<file path=xl/tables/table1.xml><?xml version="1.0" encoding="utf-8"?>
<x:table xmlns:x="http://schemas.openxmlformats.org/spreadsheetml/2006/main" id="1" name="FictionalCustomerMasterTable" displayName="FictionalCustomerMasterTable" ref="A4:N14" headerRowCount="1" totalsRowCount="0" totalsRowShown="0">
  <x:tableColumns count="14">
    <x:tableColumn id="1" name="Customer master ID"/>
    <x:tableColumn id="2" name="Customer no."/>
    <x:tableColumn id="3" name="Legal name"/>
    <x:tableColumn id="4" name="Search name"/>
    <x:tableColumn id="5" name="Street"/>
    <x:tableColumn id="6" name="Postcode"/>
    <x:tableColumn id="7" name="City"/>
    <x:tableColumn id="8" name="Country"/>
    <x:tableColumn id="9" name="Email"/>
    <x:tableColumn id="10" name="Phone"/>
    <x:tableColumn id="11" name="Payment terms"/>
    <x:tableColumn id="12" name="Currency"/>
    <x:tableColumn id="13" name="Active"/>
    <x:tableColumn id="14" name="Test cover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036d87a34b4f7f" /></Relationships>
</file>

<file path=xl/worksheets/sheet1.xml><?xml version="1.0" encoding="utf-8"?>
<x:worksheet xmlns:x="http://schemas.openxmlformats.org/spreadsheetml/2006/main">
  <x:sheetPr>
    <x:tabColor rgb="FF0D829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30" hidden="0" customWidth="1"/>
    <x:col min="5" max="5" width="22" hidden="0" customWidth="1"/>
    <x:col min="6" max="6" width="11" hidden="0" customWidth="1"/>
    <x:col min="7" max="7" width="20" hidden="0" customWidth="1"/>
    <x:col min="8" max="8" width="12" hidden="0" customWidth="1"/>
    <x:col min="9" max="9" width="44" hidden="0" customWidth="1"/>
    <x:col min="10" max="10" width="24" hidden="0" customWidth="1"/>
    <x:col min="11" max="11" width="17" hidden="0" customWidth="1"/>
    <x:col min="12" max="12" width="10" hidden="0" customWidth="1"/>
    <x:col min="13" max="13" width="9" hidden="0" customWidth="1"/>
    <x:col min="14" max="14" width="16" hidden="0" customWidth="1"/>
  </x:cols>
  <x:sheetData>
    <x:row r="1" ht="10" customHeight="1"/>
    <x:row r="2">
      <x:c r="A2" s="2" t="str">
        <x:v>Fictional Customer Master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4" t="str">
        <x:v>Synthetic customer records for purchase-order matching tests. Streets, contacts, and identifiers are fictional.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10" t="str">
        <x:v>Customer master ID</x:v>
      </x:c>
      <x:c r="B4" s="10" t="str">
        <x:v>Customer no.</x:v>
      </x:c>
      <x:c r="C4" s="10" t="str">
        <x:v>Legal name</x:v>
      </x:c>
      <x:c r="D4" s="10" t="str">
        <x:v>Search name</x:v>
      </x:c>
      <x:c r="E4" s="10" t="str">
        <x:v>Street</x:v>
      </x:c>
      <x:c r="F4" s="10" t="str">
        <x:v>Postcode</x:v>
      </x:c>
      <x:c r="G4" s="10" t="str">
        <x:v>City</x:v>
      </x:c>
      <x:c r="H4" s="10" t="str">
        <x:v>Country</x:v>
      </x:c>
      <x:c r="I4" s="10" t="str">
        <x:v>Email</x:v>
      </x:c>
      <x:c r="J4" s="10" t="str">
        <x:v>Phone</x:v>
      </x:c>
      <x:c r="K4" s="10" t="str">
        <x:v>Payment terms</x:v>
      </x:c>
      <x:c r="L4" s="10" t="str">
        <x:v>Currency</x:v>
      </x:c>
      <x:c r="M4" s="10" t="str">
        <x:v>Active</x:v>
      </x:c>
      <x:c r="N4" s="10" t="str">
        <x:v>Test coverage</x:v>
      </x:c>
    </x:row>
    <x:row r="5" ht="24" customHeight="1">
      <x:c r="A5" s="12" t="str">
        <x:v>CM-10001</x:v>
      </x:c>
      <x:c r="B5" s="15" t="str">
        <x:v>48326</x:v>
      </x:c>
      <x:c r="C5" s="12" t="str">
        <x:v>ClearLine Hygiene GmbH</x:v>
      </x:c>
      <x:c r="D5" s="12" t="str">
        <x:v>CLEARLINE HYGIENE</x:v>
      </x:c>
      <x:c r="E5" s="12" t="str">
        <x:v>Musterpark 9</x:v>
      </x:c>
      <x:c r="F5" s="15" t="str">
        <x:v>86156</x:v>
      </x:c>
      <x:c r="G5" s="12" t="str">
        <x:v>Augsburg</x:v>
      </x:c>
      <x:c r="H5" s="12" t="str">
        <x:v>Germany</x:v>
      </x:c>
      <x:c r="I5" s="18" t="str">
        <x:v>orders@clearline-example.com</x:v>
      </x:c>
      <x:c r="J5" s="18" t="str">
        <x:v>+49 821 5550 2400</x:v>
      </x:c>
      <x:c r="K5" s="12" t="str">
        <x:v>30 days net</x:v>
      </x:c>
      <x:c r="L5" s="12" t="str">
        <x:v>EUR</x:v>
      </x:c>
      <x:c r="M5" s="12" t="str">
        <x:v>Yes</x:v>
      </x:c>
      <x:c r="N5" s="12" t="str">
        <x:v>Full match</x:v>
      </x:c>
    </x:row>
    <x:row r="6" ht="24" customHeight="1">
      <x:c r="A6" s="13" t="str">
        <x:v>CM-10010</x:v>
      </x:c>
      <x:c r="B6" s="16" t="str">
        <x:v>48326</x:v>
      </x:c>
      <x:c r="C6" s="13" t="str">
        <x:v>Northstar Commercial Kitchens Ltd.</x:v>
      </x:c>
      <x:c r="D6" s="13" t="str">
        <x:v>NORTHSTAR COMMERCIAL KITCHENS</x:v>
      </x:c>
      <x:c r="E6" s="13" t="str">
        <x:v>Musterstraße 22</x:v>
      </x:c>
      <x:c r="F6" s="16" t="str">
        <x:v>50667</x:v>
      </x:c>
      <x:c r="G6" s="13" t="str">
        <x:v>Köln</x:v>
      </x:c>
      <x:c r="H6" s="13" t="str">
        <x:v>Germany</x:v>
      </x:c>
      <x:c r="I6" s="19" t="str">
        <x:v>service@northstar-example.com</x:v>
      </x:c>
      <x:c r="J6" s="19" t="str">
        <x:v>+49 221 5550 2400</x:v>
      </x:c>
      <x:c r="K6" s="13" t="str">
        <x:v>30 days net</x:v>
      </x:c>
      <x:c r="L6" s="13" t="str">
        <x:v>EUR</x:v>
      </x:c>
      <x:c r="M6" s="13" t="str">
        <x:v>Yes</x:v>
      </x:c>
      <x:c r="N6" s="13" t="str">
        <x:v>Full match</x:v>
      </x:c>
    </x:row>
    <x:row r="7" ht="24" customHeight="1">
      <x:c r="A7" s="13" t="str">
        <x:v>CM-10002</x:v>
      </x:c>
      <x:c r="B7" s="16" t="str">
        <x:v>40127</x:v>
      </x:c>
      <x:c r="C7" s="13" t="str">
        <x:v>Alpine Service Concepts GmbH</x:v>
      </x:c>
      <x:c r="D7" s="13" t="str">
        <x:v>ALPINE SERVICE CONCEPTS</x:v>
      </x:c>
      <x:c r="E7" s="13" t="str">
        <x:v>Musterweg 18</x:v>
      </x:c>
      <x:c r="F7" s="16" t="str">
        <x:v>80331</x:v>
      </x:c>
      <x:c r="G7" s="13" t="str">
        <x:v>München</x:v>
      </x:c>
      <x:c r="H7" s="13" t="str">
        <x:v>Germany</x:v>
      </x:c>
      <x:c r="I7" s="19" t="str">
        <x:v>purchasing@alpine-example.com</x:v>
      </x:c>
      <x:c r="J7" s="19" t="str">
        <x:v>+49 89 5550 1100</x:v>
      </x:c>
      <x:c r="K7" s="13" t="str">
        <x:v>14 days net</x:v>
      </x:c>
      <x:c r="L7" s="13" t="str">
        <x:v>EUR</x:v>
      </x:c>
      <x:c r="M7" s="13" t="str">
        <x:v>Yes</x:v>
      </x:c>
      <x:c r="N7" s="13" t="str">
        <x:v>Reference only</x:v>
      </x:c>
    </x:row>
    <x:row r="8" ht="24" customHeight="1">
      <x:c r="A8" s="13" t="str">
        <x:v>CM-10003</x:v>
      </x:c>
      <x:c r="B8" s="16" t="str">
        <x:v>51704</x:v>
      </x:c>
      <x:c r="C8" s="13" t="str">
        <x:v>Harborline Food Systems GmbH</x:v>
      </x:c>
      <x:c r="D8" s="13" t="str">
        <x:v>HARBORLINE FOOD SYSTEMS</x:v>
      </x:c>
      <x:c r="E8" s="13" t="str">
        <x:v>Beispielkai 7</x:v>
      </x:c>
      <x:c r="F8" s="16" t="str">
        <x:v>20457</x:v>
      </x:c>
      <x:c r="G8" s="13" t="str">
        <x:v>Hamburg</x:v>
      </x:c>
      <x:c r="H8" s="13" t="str">
        <x:v>Germany</x:v>
      </x:c>
      <x:c r="I8" s="19" t="str">
        <x:v>orders@harbor-example.com</x:v>
      </x:c>
      <x:c r="J8" s="19" t="str">
        <x:v>+49 40 5550 1200</x:v>
      </x:c>
      <x:c r="K8" s="13" t="str">
        <x:v>30 days net</x:v>
      </x:c>
      <x:c r="L8" s="13" t="str">
        <x:v>EUR</x:v>
      </x:c>
      <x:c r="M8" s="13" t="str">
        <x:v>Yes</x:v>
      </x:c>
      <x:c r="N8" s="13" t="str">
        <x:v>Reference only</x:v>
      </x:c>
    </x:row>
    <x:row r="9" ht="24" customHeight="1">
      <x:c r="A9" s="13" t="str">
        <x:v>CM-10004</x:v>
      </x:c>
      <x:c r="B9" s="16" t="str">
        <x:v>60218</x:v>
      </x:c>
      <x:c r="C9" s="13" t="str">
        <x:v>RhineWorks Catering GmbH</x:v>
      </x:c>
      <x:c r="D9" s="13" t="str">
        <x:v>RHINEWORKS CATERING</x:v>
      </x:c>
      <x:c r="E9" s="13" t="str">
        <x:v>Musterufer 11</x:v>
      </x:c>
      <x:c r="F9" s="16" t="str">
        <x:v>50667</x:v>
      </x:c>
      <x:c r="G9" s="13" t="str">
        <x:v>Köln</x:v>
      </x:c>
      <x:c r="H9" s="13" t="str">
        <x:v>Germany</x:v>
      </x:c>
      <x:c r="I9" s="19" t="str">
        <x:v>buy@rhineworks-example.com</x:v>
      </x:c>
      <x:c r="J9" s="19" t="str">
        <x:v>+49 221 5550 1300</x:v>
      </x:c>
      <x:c r="K9" s="13" t="str">
        <x:v>30 days net</x:v>
      </x:c>
      <x:c r="L9" s="13" t="str">
        <x:v>EUR</x:v>
      </x:c>
      <x:c r="M9" s="13" t="str">
        <x:v>Yes</x:v>
      </x:c>
      <x:c r="N9" s="13" t="str">
        <x:v>Reference only</x:v>
      </x:c>
    </x:row>
    <x:row r="10" ht="24" customHeight="1">
      <x:c r="A10" s="13" t="str">
        <x:v>CM-10005</x:v>
      </x:c>
      <x:c r="B10" s="16" t="str">
        <x:v>73490</x:v>
      </x:c>
      <x:c r="C10" s="13" t="str">
        <x:v>Spree Hospitality Technik GmbH</x:v>
      </x:c>
      <x:c r="D10" s="13" t="str">
        <x:v>SPREE HOSPITALITY TECHNIK</x:v>
      </x:c>
      <x:c r="E10" s="13" t="str">
        <x:v>Beispielplatz 4</x:v>
      </x:c>
      <x:c r="F10" s="16" t="str">
        <x:v>10115</x:v>
      </x:c>
      <x:c r="G10" s="13" t="str">
        <x:v>Berlin</x:v>
      </x:c>
      <x:c r="H10" s="13" t="str">
        <x:v>Germany</x:v>
      </x:c>
      <x:c r="I10" s="19" t="str">
        <x:v>orders@spree-example.com</x:v>
      </x:c>
      <x:c r="J10" s="19" t="str">
        <x:v>+49 30 5550 1400</x:v>
      </x:c>
      <x:c r="K10" s="13" t="str">
        <x:v>14 days net</x:v>
      </x:c>
      <x:c r="L10" s="13" t="str">
        <x:v>EUR</x:v>
      </x:c>
      <x:c r="M10" s="13" t="str">
        <x:v>Yes</x:v>
      </x:c>
      <x:c r="N10" s="13" t="str">
        <x:v>Reference only</x:v>
      </x:c>
    </x:row>
    <x:row r="11" ht="24" customHeight="1">
      <x:c r="A11" s="13" t="str">
        <x:v>CM-10006</x:v>
      </x:c>
      <x:c r="B11" s="16" t="str">
        <x:v>87516</x:v>
      </x:c>
      <x:c r="C11" s="13" t="str">
        <x:v>MainServe Equipment GmbH</x:v>
      </x:c>
      <x:c r="D11" s="13" t="str">
        <x:v>MAINSERVE EQUIPMENT</x:v>
      </x:c>
      <x:c r="E11" s="13" t="str">
        <x:v>Musterallee 21</x:v>
      </x:c>
      <x:c r="F11" s="16" t="str">
        <x:v>60311</x:v>
      </x:c>
      <x:c r="G11" s="13" t="str">
        <x:v>Frankfurt am Main</x:v>
      </x:c>
      <x:c r="H11" s="13" t="str">
        <x:v>Germany</x:v>
      </x:c>
      <x:c r="I11" s="19" t="str">
        <x:v>buy@mainserve-example.com</x:v>
      </x:c>
      <x:c r="J11" s="19" t="str">
        <x:v>+49 69 5550 1500</x:v>
      </x:c>
      <x:c r="K11" s="13" t="str">
        <x:v>30 days net</x:v>
      </x:c>
      <x:c r="L11" s="13" t="str">
        <x:v>EUR</x:v>
      </x:c>
      <x:c r="M11" s="13" t="str">
        <x:v>Yes</x:v>
      </x:c>
      <x:c r="N11" s="13" t="str">
        <x:v>Reference only</x:v>
      </x:c>
    </x:row>
    <x:row r="12" ht="24" customHeight="1">
      <x:c r="A12" s="13" t="str">
        <x:v>CM-10007</x:v>
      </x:c>
      <x:c r="B12" s="16" t="str">
        <x:v>91943</x:v>
      </x:c>
      <x:c r="C12" s="13" t="str">
        <x:v>Elbe Professional Kitchens GmbH</x:v>
      </x:c>
      <x:c r="D12" s="13" t="str">
        <x:v>ELBE PROFESSIONAL KITCHENS</x:v>
      </x:c>
      <x:c r="E12" s="13" t="str">
        <x:v>Beispielstraße 33</x:v>
      </x:c>
      <x:c r="F12" s="16" t="str">
        <x:v>01067</x:v>
      </x:c>
      <x:c r="G12" s="13" t="str">
        <x:v>Dresden</x:v>
      </x:c>
      <x:c r="H12" s="13" t="str">
        <x:v>Germany</x:v>
      </x:c>
      <x:c r="I12" s="19" t="str">
        <x:v>buy@elbe-example.com</x:v>
      </x:c>
      <x:c r="J12" s="19" t="str">
        <x:v>+49 351 5550 1600</x:v>
      </x:c>
      <x:c r="K12" s="13" t="str">
        <x:v>30 days net</x:v>
      </x:c>
      <x:c r="L12" s="13" t="str">
        <x:v>EUR</x:v>
      </x:c>
      <x:c r="M12" s="13" t="str">
        <x:v>Yes</x:v>
      </x:c>
      <x:c r="N12" s="13" t="str">
        <x:v>Reference only</x:v>
      </x:c>
    </x:row>
    <x:row r="13" ht="24" customHeight="1">
      <x:c r="A13" s="13" t="str">
        <x:v>CM-10008</x:v>
      </x:c>
      <x:c r="B13" s="16" t="str">
        <x:v>34082</x:v>
      </x:c>
      <x:c r="C13" s="13" t="str">
        <x:v>Isar Facility Solutions GmbH</x:v>
      </x:c>
      <x:c r="D13" s="13" t="str">
        <x:v>ISAR FACILITY SOLUTIONS</x:v>
      </x:c>
      <x:c r="E13" s="13" t="str">
        <x:v>Musterhof 6</x:v>
      </x:c>
      <x:c r="F13" s="16" t="str">
        <x:v>80333</x:v>
      </x:c>
      <x:c r="G13" s="13" t="str">
        <x:v>München</x:v>
      </x:c>
      <x:c r="H13" s="13" t="str">
        <x:v>Germany</x:v>
      </x:c>
      <x:c r="I13" s="19" t="str">
        <x:v>orders@isar-example.com</x:v>
      </x:c>
      <x:c r="J13" s="19" t="str">
        <x:v>+49 89 5550 1700</x:v>
      </x:c>
      <x:c r="K13" s="13" t="str">
        <x:v>14 days net</x:v>
      </x:c>
      <x:c r="L13" s="13" t="str">
        <x:v>EUR</x:v>
      </x:c>
      <x:c r="M13" s="13" t="str">
        <x:v>Yes</x:v>
      </x:c>
      <x:c r="N13" s="13" t="str">
        <x:v>Reference only</x:v>
      </x:c>
    </x:row>
    <x:row r="14" ht="24" customHeight="1">
      <x:c r="A14" s="14" t="str">
        <x:v>CM-10009</x:v>
      </x:c>
      <x:c r="B14" s="17" t="str">
        <x:v>67139</x:v>
      </x:c>
      <x:c r="C14" s="14" t="str">
        <x:v>Ruhr Gastro Service GmbH</x:v>
      </x:c>
      <x:c r="D14" s="14" t="str">
        <x:v>RUHR GASTRO SERVICE</x:v>
      </x:c>
      <x:c r="E14" s="14" t="str">
        <x:v>Beispielring 12</x:v>
      </x:c>
      <x:c r="F14" s="17" t="str">
        <x:v>45127</x:v>
      </x:c>
      <x:c r="G14" s="14" t="str">
        <x:v>Essen</x:v>
      </x:c>
      <x:c r="H14" s="14" t="str">
        <x:v>Germany</x:v>
      </x:c>
      <x:c r="I14" s="20" t="str">
        <x:v>buy@ruhr-example.com</x:v>
      </x:c>
      <x:c r="J14" s="20" t="str">
        <x:v>+49 201 5550 1800</x:v>
      </x:c>
      <x:c r="K14" s="14" t="str">
        <x:v>30 days net</x:v>
      </x:c>
      <x:c r="L14" s="14" t="str">
        <x:v>EUR</x:v>
      </x:c>
      <x:c r="M14" s="14" t="str">
        <x:v>Yes</x:v>
      </x:c>
      <x:c r="N14" s="14" t="str">
        <x:v>Reference only</x:v>
      </x:c>
    </x:row>
  </x:sheetData>
  <x:mergeCells>
    <x:mergeCell ref="A2:N2"/>
    <x:mergeCell ref="A3:N3"/>
  </x:mergeCells>
  <x:conditionalFormatting sqref="N5:N14">
    <x:cfRule type="containsText" dxfId="0" priority="1" operator="containsText" text="Full match"/>
  </x:conditionalFormatting>
  <x:pageMargins left="0.7" right="0.7" top="0.75" bottom="0.75" header="0.3" footer="0.3"/>
  <x:tableParts count="1">
    <x:tablePart xmlns:r="http://schemas.openxmlformats.org/officeDocument/2006/relationships" r:id="Rdf036d87a34b4f7f"/>
  </x:tableParts>
</x:worksheet>
</file>

<file path=xl/worksheets/sheet2.xml><?xml version="1.0" encoding="utf-8"?>
<x:worksheet xmlns:x="http://schemas.openxmlformats.org/spreadsheetml/2006/main">
  <x:sheetPr>
    <x:tabColor rgb="FF0D829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20" hidden="0" customWidth="1"/>
    <x:col min="4" max="4" width="14" hidden="0" customWidth="1"/>
    <x:col min="5" max="5" width="35" hidden="0" customWidth="1"/>
    <x:col min="6" max="6" width="15" hidden="0" customWidth="1"/>
    <x:col min="7" max="7" width="16" hidden="0" customWidth="1"/>
    <x:col min="8" max="8" width="18" hidden="0" customWidth="1"/>
    <x:col min="9" max="9" width="18" hidden="0" customWidth="1"/>
  </x:cols>
  <x:sheetData>
    <x:row r="1" ht="10" customHeight="1"/>
    <x:row r="2">
      <x:c r="A2" s="2" t="str">
        <x:v>Match test scenarios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Use the master data together. Customer matching requires customer number plus legal name.</x:v>
      </x:c>
      <x:c r="B3" s="4"/>
      <x:c r="C3" s="4"/>
      <x:c r="D3" s="4"/>
      <x:c r="E3" s="4"/>
      <x:c r="F3" s="4"/>
      <x:c r="G3" s="4"/>
      <x:c r="H3" s="4"/>
      <x:c r="I3" s="4"/>
    </x:row>
    <x:row r="4">
      <x:c r="A4" s="10" t="str">
        <x:v>Scenario</x:v>
      </x:c>
      <x:c r="B4" s="10" t="str">
        <x:v>Source example</x:v>
      </x:c>
      <x:c r="C4" s="10" t="str">
        <x:v>Order number</x:v>
      </x:c>
      <x:c r="D4" s="10" t="str">
        <x:v>Customer no.</x:v>
      </x:c>
      <x:c r="E4" s="10" t="str">
        <x:v>Customer legal name</x:v>
      </x:c>
      <x:c r="F4" s="10" t="str">
        <x:v>Items in order</x:v>
      </x:c>
      <x:c r="G4" s="10" t="str">
        <x:v>Items found</x:v>
      </x:c>
      <x:c r="H4" s="10" t="str">
        <x:v>Customer found</x:v>
      </x:c>
      <x:c r="I4" s="10" t="str">
        <x:v>Result</x:v>
      </x:c>
    </x:row>
    <x:row r="5" ht="34" customHeight="1">
      <x:c r="A5" s="22" t="str">
        <x:v>SC-01</x:v>
      </x:c>
      <x:c r="B5" s="24" t="str">
        <x:v>purchase_order_clearline_en_example_1.pdf</x:v>
      </x:c>
      <x:c r="C5" s="22" t="str">
        <x:v>OR2607421</x:v>
      </x:c>
      <x:c r="D5" s="26" t="str">
        <x:v>48326</x:v>
      </x:c>
      <x:c r="E5" s="24" t="str">
        <x:v>ClearLine Hygiene GmbH</x:v>
      </x:c>
      <x:c r="F5" s="30" t="n">
        <x:v>3</x:v>
      </x:c>
      <x:c r="G5" s="30" t="n">
        <x:v>3</x:v>
      </x:c>
      <x:c r="H5" s="31" t="str">
        <x:f>IF(COUNTIFS('Customer Master'!$B$5:$B$14,D5,'Customer Master'!$C$5:$C$14,E5)&gt;0,"Yes","No")</x:f>
        <x:v>Yes</x:v>
      </x:c>
      <x:c r="I5" s="22" t="str">
        <x:f>IF(AND(F5=G5,H5="Yes"),"Full match",IF(AND(F5=G5,H5="No"),"Partial match","No match"))</x:f>
        <x:v>Full match</x:v>
      </x:c>
    </x:row>
    <x:row r="6" ht="34" customHeight="1">
      <x:c r="A6" s="23" t="str">
        <x:v>SC-02</x:v>
      </x:c>
      <x:c r="B6" s="25" t="str">
        <x:v>purchase_order_northstar_en_example2.pdf</x:v>
      </x:c>
      <x:c r="C6" s="23" t="str">
        <x:v>SR-482716-9</x:v>
      </x:c>
      <x:c r="D6" s="27" t="str">
        <x:v>48326</x:v>
      </x:c>
      <x:c r="E6" s="25" t="str">
        <x:v>Northstar Commercial Kitchens Ltd.</x:v>
      </x:c>
      <x:c r="F6" s="32" t="n">
        <x:v>1</x:v>
      </x:c>
      <x:c r="G6" s="32" t="n">
        <x:v>1</x:v>
      </x:c>
      <x:c r="H6" s="33" t="str">
        <x:f>IF(COUNTIFS('Customer Master'!$B$5:$B$14,D6,'Customer Master'!$C$5:$C$14,E6)&gt;0,"Yes","No")</x:f>
        <x:v>Yes</x:v>
      </x:c>
      <x:c r="I6" s="23" t="str">
        <x:f>IF(AND(F6=G6,H6="Yes"),"Full match",IF(AND(F6=G6,H6="No"),"Partial match","No match"))</x:f>
        <x:v>Full match</x:v>
      </x:c>
    </x:row>
    <x:row r="7" ht="34" customHeight="1">
      <x:c r="A7" s="23" t="str">
        <x:v>SC-03</x:v>
      </x:c>
      <x:c r="B7" s="25" t="str">
        <x:v>purchase_order_northstar(1).xlsx</x:v>
      </x:c>
      <x:c r="C7" s="23" t="str">
        <x:v>PO-SR-482716-9</x:v>
      </x:c>
      <x:c r="D7" s="27" t="str">
        <x:v>48326</x:v>
      </x:c>
      <x:c r="E7" s="25" t="str">
        <x:v>Northstar Commercial Kitchens Ltd.</x:v>
      </x:c>
      <x:c r="F7" s="32" t="n">
        <x:v>22</x:v>
      </x:c>
      <x:c r="G7" s="32" t="n">
        <x:v>22</x:v>
      </x:c>
      <x:c r="H7" s="33" t="str">
        <x:f>IF(COUNTIFS('Customer Master'!$B$5:$B$14,D7,'Customer Master'!$C$5:$C$14,E7)&gt;0,"Yes","No")</x:f>
        <x:v>Yes</x:v>
      </x:c>
      <x:c r="I7" s="23" t="str">
        <x:f>IF(AND(F7=G7,H7="Yes"),"Full match",IF(AND(F7=G7,H7="No"),"Partial match","No match"))</x:f>
        <x:v>Full match</x:v>
      </x:c>
    </x:row>
    <x:row r="8" ht="34" customHeight="1">
      <x:c r="A8" s="23" t="str">
        <x:v>SC-04</x:v>
      </x:c>
      <x:c r="B8" s="25" t="str">
        <x:v>purchase_order_northbridge_en_example3.pdf</x:v>
      </x:c>
      <x:c r="C8" s="23" t="str">
        <x:v>PO-7642091</x:v>
      </x:c>
      <x:c r="D8" s="27" t="str">
        <x:v>58264</x:v>
      </x:c>
      <x:c r="E8" s="25" t="str">
        <x:v>Northbridge Catering Systems Ltd.</x:v>
      </x:c>
      <x:c r="F8" s="32" t="n">
        <x:v>1</x:v>
      </x:c>
      <x:c r="G8" s="32" t="n">
        <x:v>1</x:v>
      </x:c>
      <x:c r="H8" s="33" t="str">
        <x:f>IF(COUNTIFS('Customer Master'!$B$5:$B$14,D8,'Customer Master'!$C$5:$C$14,E8)&gt;0,"Yes","No")</x:f>
        <x:v>No</x:v>
      </x:c>
      <x:c r="I8" s="23" t="str">
        <x:f>IF(AND(F8=G8,H8="Yes"),"Full match",IF(AND(F8=G8,H8="No"),"Partial match","No match"))</x:f>
        <x:v>Partial match</x:v>
      </x:c>
    </x:row>
    <x:row r="9" ht="34" customHeight="1">
      <x:c r="A9" s="23" t="str">
        <x:v>SC-05</x:v>
      </x:c>
      <x:c r="B9" s="25" t="str">
        <x:v>purchase_order_northbridge(1).xlsx</x:v>
      </x:c>
      <x:c r="C9" s="23" t="str">
        <x:v>PO-7642091</x:v>
      </x:c>
      <x:c r="D9" s="27" t="str">
        <x:v>58264</x:v>
      </x:c>
      <x:c r="E9" s="25" t="str">
        <x:v>Northbridge Catering Systems Ltd.</x:v>
      </x:c>
      <x:c r="F9" s="32" t="n">
        <x:v>2</x:v>
      </x:c>
      <x:c r="G9" s="32" t="n">
        <x:v>1</x:v>
      </x:c>
      <x:c r="H9" s="33" t="str">
        <x:f>IF(COUNTIFS('Customer Master'!$B$5:$B$14,D9,'Customer Master'!$C$5:$C$14,E9)&gt;0,"Yes","No")</x:f>
        <x:v>No</x:v>
      </x:c>
      <x:c r="I9" s="23" t="str">
        <x:f>IF(AND(F9=G9,H9="Yes"),"Full match",IF(AND(F9=G9,H9="No"),"Partial match","No match"))</x:f>
        <x:v>No match</x:v>
      </x:c>
    </x:row>
    <x:row r="10" ht="34" customHeight="1">
      <x:c r="A10" s="23" t="str">
        <x:v>SC-06</x:v>
      </x:c>
      <x:c r="B10" s="25" t="str">
        <x:v>Order example 4.png</x:v>
      </x:c>
      <x:c r="C10" s="23" t="str">
        <x:v>PO-7642091</x:v>
      </x:c>
      <x:c r="D10" s="27" t="str">
        <x:v>58264</x:v>
      </x:c>
      <x:c r="E10" s="25" t="str">
        <x:v>Northbridge Catering Systems Ltd.</x:v>
      </x:c>
      <x:c r="F10" s="32" t="n">
        <x:v>1</x:v>
      </x:c>
      <x:c r="G10" s="32" t="n">
        <x:v>1</x:v>
      </x:c>
      <x:c r="H10" s="33" t="str">
        <x:f>IF(COUNTIFS('Customer Master'!$B$5:$B$14,D10,'Customer Master'!$C$5:$C$14,E10)&gt;0,"Yes","No")</x:f>
        <x:v>No</x:v>
      </x:c>
      <x:c r="I10" s="23" t="str">
        <x:f>IF(AND(F10=G10,H10="Yes"),"Full match",IF(AND(F10=G10,H10="No"),"Partial match","No match"))</x:f>
        <x:v>Partial match</x:v>
      </x:c>
    </x:row>
    <x:row r="12" ht="24" customHeight="1">
      <x:c r="A12" s="36" t="str">
        <x:v>Partial match means every ordered item exists, but the exact customer key does not. Northbridge customer 58264 is intentionally absent; item 628450 is also excluded.</x:v>
      </x:c>
      <x:c r="B12" s="36"/>
      <x:c r="C12" s="36"/>
      <x:c r="D12" s="36"/>
      <x:c r="E12" s="36"/>
      <x:c r="F12" s="36"/>
      <x:c r="G12" s="36"/>
      <x:c r="H12" s="36"/>
      <x:c r="I12" s="36"/>
    </x:row>
    <x:row r="13" ht="24" customHeight="1">
      <x:c r="A13" s="37" t="str">
        <x:v>The duplicate customer number 48326 is intentional. ClearLine and Northstar are separate valid customers because matching uses customer number plus legal name.</x:v>
      </x:c>
      <x:c r="B13" s="37"/>
      <x:c r="C13" s="37"/>
      <x:c r="D13" s="37"/>
      <x:c r="E13" s="37"/>
      <x:c r="F13" s="37"/>
      <x:c r="G13" s="37"/>
      <x:c r="H13" s="37"/>
      <x:c r="I13" s="37"/>
    </x:row>
  </x:sheetData>
  <x:mergeCells>
    <x:mergeCell ref="A2:I2"/>
    <x:mergeCell ref="A3:I3"/>
    <x:mergeCell ref="A12:I12"/>
    <x:mergeCell ref="A13:I13"/>
  </x:mergeCells>
  <x:conditionalFormatting sqref="I5:I10">
    <x:cfRule type="containsText" dxfId="1" priority="1" operator="containsText" text="Full match"/>
    <x:cfRule type="containsText" dxfId="2" priority="2" operator="containsText" text="Partial match"/>
    <x:cfRule type="containsText" dxfId="3" priority="3" operator="containsText" text="No match"/>
  </x:conditionalFormatting>
  <x:pageMargins left="0.7" right="0.7" top="0.75" bottom="0.75" header="0.3" footer="0.3"/>
</x:worksheet>
</file>
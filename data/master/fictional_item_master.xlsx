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dc4649ce6344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 Master" sheetId="1" r:id="R88440f7bd4fc42a5"/>
    <x:sheet xmlns:r="http://schemas.openxmlformats.org/officeDocument/2006/relationships" name="Test Scenarios" sheetId="2" r:id="R9ad1bfc64c144b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€&quot;#,##0.00"/>
    <x:numFmt numFmtId="201" formatCode="@"/>
    <x:numFmt numFmtId="202" formatCode="0"/>
  </x:numFmts>
  <x:fonts count="6">
    <x:font>
      <x:sz val="11"/>
      <x:name val="Carlito"/>
    </x:font>
    <x:font>
      <x:b/>
      <x:sz val="15"/>
      <x:color rgb="FF173B63"/>
      <x:name val="Arial"/>
    </x:font>
    <x:font>
      <x:i/>
      <x:sz val="9"/>
      <x:color rgb="FF667085"/>
      <x:name val="Arial"/>
    </x:font>
    <x:font>
      <x:b/>
      <x:sz val="10"/>
      <x:color rgb="FFFFFFFF"/>
      <x:name val="Arial"/>
    </x:font>
    <x:font>
      <x:sz val="9"/>
      <x:color rgb="FF172033"/>
      <x:name val="Arial"/>
    </x:font>
    <x:font>
      <x:sz val="10"/>
      <x:color rgb="FF1720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B63"/>
      </x:patternFill>
    </x:fill>
    <x:fill>
      <x:patternFill patternType="solid">
        <x:fgColor rgb="FFEAF2F8"/>
      </x:patternFill>
    </x:fill>
  </x:fills>
  <x:borders count="5">
    <x:border/>
    <x:border>
      <x:bottom style="thin">
        <x:color rgb="FFD7DCE5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top style="thin">
        <x:color rgb="FFD7DCE5"/>
      </x:top>
      <x:bottom style="thin">
        <x:color rgb="FFD7DCE5"/>
      </x:bottom>
    </x:border>
    <x:border>
      <x:top style="thin">
        <x:color rgb="FFD7DCE5"/>
      </x:top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200" fontId="4" fillId="0" borderId="1" xfId="0" applyNumberFormat="1" applyFont="1" applyFill="1" applyBorder="1"/>
    <x:xf numFmtId="200" fontId="4" fillId="0" borderId="3" xfId="0" applyNumberFormat="1" applyFont="1" applyFill="1" applyBorder="1"/>
    <x:xf numFmtId="200" fontId="4" fillId="0" borderId="4" xfId="0" applyNumberFormat="1" applyFont="1" applyFill="1" applyBorder="1"/>
    <x:xf numFmtId="201" fontId="4" fillId="0" borderId="1" xfId="0" applyNumberFormat="1" applyFont="1" applyFill="1" applyBorder="1"/>
    <x:xf numFmtId="201" fontId="4" fillId="0" borderId="3" xfId="0" applyNumberFormat="1" applyFont="1" applyFill="1" applyBorder="1"/>
    <x:xf numFmtId="201" fontId="4" fillId="0" borderId="4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201" fontId="5" fillId="0" borderId="1" xfId="0" applyNumberFormat="1" applyFont="1" applyFill="1" applyBorder="1"/>
    <x:xf numFmtId="201" fontId="5" fillId="0" borderId="3" xfId="0" applyNumberFormat="1" applyFont="1" applyFill="1" applyBorder="1"/>
    <x:xf numFmtId="202" fontId="5" fillId="0" borderId="1" xfId="0" applyNumberFormat="1" applyFont="1" applyFill="1" applyBorder="1"/>
    <x:xf numFmtId="202" fontId="5" fillId="0" borderId="3" xfId="0" applyNumberFormat="1" applyFont="1" applyFill="1" applyBorder="1"/>
    <x:xf numFmtId="202" fontId="5" fillId="0" borderId="1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 applyAlignment="1">
      <x:alignment horizontal="center"/>
    </x:xf>
    <x:xf numFmtId="202" fontId="5" fillId="0" borderId="3" xfId="0" applyNumberFormat="1" applyFont="1" applyFill="1" applyBorder="1" applyAlignment="1">
      <x:alignment horizontal="center"/>
    </x:xf>
    <x:xf numFmtId="0" fontId="5" fillId="0" borderId="3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5eefd9d44b46cb" /><Relationship Type="http://schemas.openxmlformats.org/officeDocument/2006/relationships/theme" Target="/xl/theme/theme1.xml" Id="Re1a0612c7d6b4d69" /><Relationship Type="http://schemas.openxmlformats.org/officeDocument/2006/relationships/sharedStrings" Target="/xl/sharedStrings.xml" Id="R5c67dc8761624ba2" /><Relationship Type="http://schemas.openxmlformats.org/officeDocument/2006/relationships/worksheet" Target="/xl/worksheets/sheet1.xml" Id="R88440f7bd4fc42a5" /><Relationship Type="http://schemas.openxmlformats.org/officeDocument/2006/relationships/worksheet" Target="/xl/worksheets/sheet2.xml" Id="R9ad1bfc64c144b01" /></Relationships>
</file>

<file path=xl/tables/table1.xml><?xml version="1.0" encoding="utf-8"?>
<x:table xmlns:x="http://schemas.openxmlformats.org/spreadsheetml/2006/main" id="1" name="FictionalItemMasterTable" displayName="FictionalItemMasterTable" ref="A4:M38" headerRowCount="1" totalsRowCount="0" totalsRowShown="0">
  <x:tableColumns count="13">
    <x:tableColumn id="1" name="Item master ID"/>
    <x:tableColumn id="2" name="Source item no."/>
    <x:tableColumn id="3" name="Manufacturer item no."/>
    <x:tableColumn id="4" name="Description"/>
    <x:tableColumn id="5" name="Category"/>
    <x:tableColumn id="6" name="Base UoM"/>
    <x:tableColumn id="7" name="Net price EUR"/>
    <x:tableColumn id="8" name="Currency"/>
    <x:tableColumn id="9" name="VAT code"/>
    <x:tableColumn id="10" name="Active"/>
    <x:tableColumn id="11" name="Country of origin"/>
    <x:tableColumn id="12" name="Valid from"/>
    <x:tableColumn id="13" name="Test cover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derLineCoverageTable" displayName="OrderLineCoverageTable" ref="K4:O34" headerRowCount="1" totalsRowCount="0" totalsRowShown="0">
  <x:tableColumns count="5">
    <x:tableColumn id="1" name="Scenario"/>
    <x:tableColumn id="2" name="Order number"/>
    <x:tableColumn id="3" name="Item no."/>
    <x:tableColumn id="4" name="Item description"/>
    <x:tableColumn id="5" name="Found in Item Mas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28bd44ea5b43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51d238213594527" /></Relationships>
</file>

<file path=xl/worksheets/sheet1.xml><?xml version="1.0" encoding="utf-8"?>
<x:worksheet xmlns:x="http://schemas.openxmlformats.org/spreadsheetml/2006/main">
  <x:sheetPr>
    <x:tabColor rgb="FF173B6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22" hidden="0" customWidth="1"/>
    <x:col min="4" max="4" width="46" hidden="0" customWidth="1"/>
    <x:col min="5" max="5" width="20" hidden="0" customWidth="1"/>
    <x:col min="6" max="6" width="11" hidden="0" customWidth="1"/>
    <x:col min="7" max="7" width="15" hidden="0" customWidth="1"/>
    <x:col min="8" max="8" width="10" hidden="0" customWidth="1"/>
    <x:col min="9" max="9" width="11" hidden="0" customWidth="1"/>
    <x:col min="10" max="10" width="9" hidden="0" customWidth="1"/>
    <x:col min="11" max="11" width="16" hidden="0" customWidth="1"/>
    <x:col min="12" max="12" width="13" hidden="0" customWidth="1"/>
    <x:col min="13" max="13" width="16" hidden="0" customWidth="1"/>
  </x:cols>
  <x:sheetData>
    <x:row r="1" ht="10" customHeight="1"/>
    <x:row r="2">
      <x:c r="A2" s="2" t="str">
        <x:v>Fictional Item Master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4" t="str">
        <x:v>Synthetic data for purchase-order matching tests. No production identifiers or traceable parties are included.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>
      <x:c r="A4" s="10" t="str">
        <x:v>Item master ID</x:v>
      </x:c>
      <x:c r="B4" s="10" t="str">
        <x:v>Source item no.</x:v>
      </x:c>
      <x:c r="C4" s="10" t="str">
        <x:v>Manufacturer item no.</x:v>
      </x:c>
      <x:c r="D4" s="10" t="str">
        <x:v>Description</x:v>
      </x:c>
      <x:c r="E4" s="10" t="str">
        <x:v>Category</x:v>
      </x:c>
      <x:c r="F4" s="10" t="str">
        <x:v>Base UoM</x:v>
      </x:c>
      <x:c r="G4" s="10" t="str">
        <x:v>Net price EUR</x:v>
      </x:c>
      <x:c r="H4" s="10" t="str">
        <x:v>Currency</x:v>
      </x:c>
      <x:c r="I4" s="10" t="str">
        <x:v>VAT code</x:v>
      </x:c>
      <x:c r="J4" s="10" t="str">
        <x:v>Active</x:v>
      </x:c>
      <x:c r="K4" s="10" t="str">
        <x:v>Country of origin</x:v>
      </x:c>
      <x:c r="L4" s="10" t="str">
        <x:v>Valid from</x:v>
      </x:c>
      <x:c r="M4" s="10" t="str">
        <x:v>Test coverage</x:v>
      </x:c>
    </x:row>
    <x:row r="5">
      <x:c r="A5" s="12" t="str">
        <x:v>IM-100001</x:v>
      </x:c>
      <x:c r="B5" s="12" t="str">
        <x:v>845271</x:v>
      </x:c>
      <x:c r="C5" s="12" t="str">
        <x:v>CLN-10L-1814</x:v>
      </x:c>
      <x:c r="D5" s="21" t="str">
        <x:v>Heavy-duty cleaner, 10 litres</x:v>
      </x:c>
      <x:c r="E5" s="12" t="str">
        <x:v>Cleaning chemicals</x:v>
      </x:c>
      <x:c r="F5" s="12" t="str">
        <x:v>canister</x:v>
      </x:c>
      <x:c r="G5" s="15" t="n">
        <x:v>56.25</x:v>
      </x:c>
      <x:c r="H5" s="12" t="str">
        <x:v>EUR</x:v>
      </x:c>
      <x:c r="I5" s="12" t="str">
        <x:v>DE19</x:v>
      </x:c>
      <x:c r="J5" s="12" t="str">
        <x:v>Yes</x:v>
      </x:c>
      <x:c r="K5" s="12" t="str">
        <x:v>DE</x:v>
      </x:c>
      <x:c r="L5" s="18" t="str">
        <x:v>01.01.2026</x:v>
      </x:c>
      <x:c r="M5" s="12" t="str">
        <x:v>Full match</x:v>
      </x:c>
    </x:row>
    <x:row r="6">
      <x:c r="A6" s="13" t="str">
        <x:v>IM-100002</x:v>
      </x:c>
      <x:c r="B6" s="13" t="str">
        <x:v>725904</x:v>
      </x:c>
      <x:c r="C6" s="13" t="str">
        <x:v>FLT-HOSE-04</x:v>
      </x:c>
      <x:c r="D6" s="22" t="str">
        <x:v>Container filter hose, 4 mm</x:v>
      </x:c>
      <x:c r="E6" s="13" t="str">
        <x:v>Filters</x:v>
      </x:c>
      <x:c r="F6" s="13" t="str">
        <x:v>pc</x:v>
      </x:c>
      <x:c r="G6" s="16" t="n">
        <x:v>3.33</x:v>
      </x:c>
      <x:c r="H6" s="13" t="str">
        <x:v>EUR</x:v>
      </x:c>
      <x:c r="I6" s="13" t="str">
        <x:v>DE19</x:v>
      </x:c>
      <x:c r="J6" s="13" t="str">
        <x:v>Yes</x:v>
      </x:c>
      <x:c r="K6" s="13" t="str">
        <x:v>DE</x:v>
      </x:c>
      <x:c r="L6" s="19" t="str">
        <x:v>01.01.2026</x:v>
      </x:c>
      <x:c r="M6" s="13" t="str">
        <x:v>Full match</x:v>
      </x:c>
    </x:row>
    <x:row r="7">
      <x:c r="A7" s="13" t="str">
        <x:v>IM-100003</x:v>
      </x:c>
      <x:c r="B7" s="13" t="str">
        <x:v>725918</x:v>
      </x:c>
      <x:c r="C7" s="13" t="str">
        <x:v>FLT-WGT-0715</x:v>
      </x:c>
      <x:c r="D7" s="22" t="str">
        <x:v>Filter weight, ID 7 mm, OD 15 mm, L 20 mm</x:v>
      </x:c>
      <x:c r="E7" s="13" t="str">
        <x:v>Filter accessories</x:v>
      </x:c>
      <x:c r="F7" s="13" t="str">
        <x:v>pc</x:v>
      </x:c>
      <x:c r="G7" s="16" t="n">
        <x:v>1.81</x:v>
      </x:c>
      <x:c r="H7" s="13" t="str">
        <x:v>EUR</x:v>
      </x:c>
      <x:c r="I7" s="13" t="str">
        <x:v>DE19</x:v>
      </x:c>
      <x:c r="J7" s="13" t="str">
        <x:v>Yes</x:v>
      </x:c>
      <x:c r="K7" s="13" t="str">
        <x:v>DE</x:v>
      </x:c>
      <x:c r="L7" s="19" t="str">
        <x:v>01.01.2026</x:v>
      </x:c>
      <x:c r="M7" s="13" t="str">
        <x:v>Full match</x:v>
      </x:c>
    </x:row>
    <x:row r="8">
      <x:c r="A8" s="13" t="str">
        <x:v>IM-100004</x:v>
      </x:c>
      <x:c r="B8" s="13" t="str">
        <x:v>7842136</x:v>
      </x:c>
      <x:c r="C8" s="13" t="str">
        <x:v>RHK-6000-415</x:v>
      </x:c>
      <x:c r="D8" s="22" t="str">
        <x:v>Tubular heating element, 6,000 W, 400/415 V</x:v>
      </x:c>
      <x:c r="E8" s="13" t="str">
        <x:v>Heating</x:v>
      </x:c>
      <x:c r="F8" s="13" t="str">
        <x:v>pc</x:v>
      </x:c>
      <x:c r="G8" s="16" t="n">
        <x:v>223.6</x:v>
      </x:c>
      <x:c r="H8" s="13" t="str">
        <x:v>EUR</x:v>
      </x:c>
      <x:c r="I8" s="13" t="str">
        <x:v>DE19</x:v>
      </x:c>
      <x:c r="J8" s="13" t="str">
        <x:v>Yes</x:v>
      </x:c>
      <x:c r="K8" s="13" t="str">
        <x:v>DE</x:v>
      </x:c>
      <x:c r="L8" s="19" t="str">
        <x:v>01.01.2026</x:v>
      </x:c>
      <x:c r="M8" s="13" t="str">
        <x:v>Partial match</x:v>
      </x:c>
    </x:row>
    <x:row r="9">
      <x:c r="A9" s="13" t="str">
        <x:v>IM-110001</x:v>
      </x:c>
      <x:c r="B9" s="13" t="str">
        <x:v>NTH-481732</x:v>
      </x:c>
      <x:c r="C9" s="13" t="str">
        <x:v>482731-6</x:v>
      </x:c>
      <x:c r="D9" s="22" t="str">
        <x:v>Peristaltic hose, clear</x:v>
      </x:c>
      <x:c r="E9" s="13" t="str">
        <x:v>Hoses</x:v>
      </x:c>
      <x:c r="F9" s="13" t="str">
        <x:v>pc</x:v>
      </x:c>
      <x:c r="G9" s="16" t="n">
        <x:v>34.8</x:v>
      </x:c>
      <x:c r="H9" s="13" t="str">
        <x:v>EUR</x:v>
      </x:c>
      <x:c r="I9" s="13" t="str">
        <x:v>DE19</x:v>
      </x:c>
      <x:c r="J9" s="13" t="str">
        <x:v>Yes</x:v>
      </x:c>
      <x:c r="K9" s="13" t="str">
        <x:v>DE</x:v>
      </x:c>
      <x:c r="L9" s="19" t="str">
        <x:v>01.01.2026</x:v>
      </x:c>
      <x:c r="M9" s="13" t="str">
        <x:v>Full match</x:v>
      </x:c>
    </x:row>
    <x:row r="10">
      <x:c r="A10" s="13" t="str">
        <x:v>IM-110002</x:v>
      </x:c>
      <x:c r="B10" s="13" t="str">
        <x:v>NTH-905284</x:v>
      </x:c>
      <x:c r="C10" s="13" t="str">
        <x:v>ADR-400</x:v>
      </x:c>
      <x:c r="D10" s="22" t="str">
        <x:v>Industrial adhesive remover, 400 ml</x:v>
      </x:c>
      <x:c r="E10" s="13" t="str">
        <x:v>Cleaning chemicals</x:v>
      </x:c>
      <x:c r="F10" s="13" t="str">
        <x:v>pc</x:v>
      </x:c>
      <x:c r="G10" s="16" t="n">
        <x:v>18.6</x:v>
      </x:c>
      <x:c r="H10" s="13" t="str">
        <x:v>EUR</x:v>
      </x:c>
      <x:c r="I10" s="13" t="str">
        <x:v>DE19</x:v>
      </x:c>
      <x:c r="J10" s="13" t="str">
        <x:v>Yes</x:v>
      </x:c>
      <x:c r="K10" s="13" t="str">
        <x:v>DE</x:v>
      </x:c>
      <x:c r="L10" s="19" t="str">
        <x:v>01.01.2026</x:v>
      </x:c>
      <x:c r="M10" s="13" t="str">
        <x:v>Full match</x:v>
      </x:c>
    </x:row>
    <x:row r="11">
      <x:c r="A11" s="13" t="str">
        <x:v>IM-110003</x:v>
      </x:c>
      <x:c r="B11" s="13" t="str">
        <x:v>NTH-627410</x:v>
      </x:c>
      <x:c r="C11" s="13" t="str">
        <x:v>SCR-M6-40</x:v>
      </x:c>
      <x:c r="D11" s="22" t="str">
        <x:v>Hexagon screw M6, length 40 mm, pack of 20</x:v>
      </x:c>
      <x:c r="E11" s="13" t="str">
        <x:v>Fasteners</x:v>
      </x:c>
      <x:c r="F11" s="13" t="str">
        <x:v>pack</x:v>
      </x:c>
      <x:c r="G11" s="16" t="n">
        <x:v>12.9</x:v>
      </x:c>
      <x:c r="H11" s="13" t="str">
        <x:v>EUR</x:v>
      </x:c>
      <x:c r="I11" s="13" t="str">
        <x:v>DE19</x:v>
      </x:c>
      <x:c r="J11" s="13" t="str">
        <x:v>Yes</x:v>
      </x:c>
      <x:c r="K11" s="13" t="str">
        <x:v>DE</x:v>
      </x:c>
      <x:c r="L11" s="19" t="str">
        <x:v>01.01.2026</x:v>
      </x:c>
      <x:c r="M11" s="13" t="str">
        <x:v>Full match</x:v>
      </x:c>
    </x:row>
    <x:row r="12">
      <x:c r="A12" s="13" t="str">
        <x:v>IM-110004</x:v>
      </x:c>
      <x:c r="B12" s="13" t="str">
        <x:v>NTH-627583</x:v>
      </x:c>
      <x:c r="C12" s="13" t="str">
        <x:v>SCR-M4-16</x:v>
      </x:c>
      <x:c r="D12" s="22" t="str">
        <x:v>Pan-head screw M4, length 16 mm, pack of 20</x:v>
      </x:c>
      <x:c r="E12" s="13" t="str">
        <x:v>Fasteners</x:v>
      </x:c>
      <x:c r="F12" s="13" t="str">
        <x:v>pack</x:v>
      </x:c>
      <x:c r="G12" s="16" t="n">
        <x:v>11.4</x:v>
      </x:c>
      <x:c r="H12" s="13" t="str">
        <x:v>EUR</x:v>
      </x:c>
      <x:c r="I12" s="13" t="str">
        <x:v>DE19</x:v>
      </x:c>
      <x:c r="J12" s="13" t="str">
        <x:v>Yes</x:v>
      </x:c>
      <x:c r="K12" s="13" t="str">
        <x:v>DE</x:v>
      </x:c>
      <x:c r="L12" s="19" t="str">
        <x:v>01.01.2026</x:v>
      </x:c>
      <x:c r="M12" s="13" t="str">
        <x:v>Full match</x:v>
      </x:c>
    </x:row>
    <x:row r="13">
      <x:c r="A13" s="13" t="str">
        <x:v>IM-110005</x:v>
      </x:c>
      <x:c r="B13" s="13" t="str">
        <x:v>NTH-627694</x:v>
      </x:c>
      <x:c r="C13" s="13" t="str">
        <x:v>SCR-ST-3519</x:v>
      </x:c>
      <x:c r="D13" s="22" t="str">
        <x:v>Self-tapping screw, 3.5 x 19 mm, pack of 20</x:v>
      </x:c>
      <x:c r="E13" s="13" t="str">
        <x:v>Fasteners</x:v>
      </x:c>
      <x:c r="F13" s="13" t="str">
        <x:v>pack</x:v>
      </x:c>
      <x:c r="G13" s="16" t="n">
        <x:v>10.8</x:v>
      </x:c>
      <x:c r="H13" s="13" t="str">
        <x:v>EUR</x:v>
      </x:c>
      <x:c r="I13" s="13" t="str">
        <x:v>DE19</x:v>
      </x:c>
      <x:c r="J13" s="13" t="str">
        <x:v>Yes</x:v>
      </x:c>
      <x:c r="K13" s="13" t="str">
        <x:v>DE</x:v>
      </x:c>
      <x:c r="L13" s="19" t="str">
        <x:v>01.01.2026</x:v>
      </x:c>
      <x:c r="M13" s="13" t="str">
        <x:v>Full match</x:v>
      </x:c>
    </x:row>
    <x:row r="14">
      <x:c r="A14" s="13" t="str">
        <x:v>IM-110006</x:v>
      </x:c>
      <x:c r="B14" s="13" t="str">
        <x:v>NTH-627805</x:v>
      </x:c>
      <x:c r="C14" s="13" t="str">
        <x:v>WSH-105-30</x:v>
      </x:c>
      <x:c r="D14" s="22" t="str">
        <x:v>Washer, ID 10.5 mm, OD 30 mm</x:v>
      </x:c>
      <x:c r="E14" s="13" t="str">
        <x:v>Fasteners</x:v>
      </x:c>
      <x:c r="F14" s="13" t="str">
        <x:v>pc</x:v>
      </x:c>
      <x:c r="G14" s="16" t="n">
        <x:v>0.72</x:v>
      </x:c>
      <x:c r="H14" s="13" t="str">
        <x:v>EUR</x:v>
      </x:c>
      <x:c r="I14" s="13" t="str">
        <x:v>DE19</x:v>
      </x:c>
      <x:c r="J14" s="13" t="str">
        <x:v>Yes</x:v>
      </x:c>
      <x:c r="K14" s="13" t="str">
        <x:v>DE</x:v>
      </x:c>
      <x:c r="L14" s="19" t="str">
        <x:v>01.01.2026</x:v>
      </x:c>
      <x:c r="M14" s="13" t="str">
        <x:v>Full match</x:v>
      </x:c>
    </x:row>
    <x:row r="15">
      <x:c r="A15" s="13" t="str">
        <x:v>IM-110007</x:v>
      </x:c>
      <x:c r="B15" s="13" t="str">
        <x:v>NTH-518294</x:v>
      </x:c>
      <x:c r="C15" s="13" t="str">
        <x:v>FER-075-WH</x:v>
      </x:c>
      <x:c r="D15" s="22" t="str">
        <x:v>Wire-end ferrule 0.75 mm², white collar</x:v>
      </x:c>
      <x:c r="E15" s="13" t="str">
        <x:v>Electrical</x:v>
      </x:c>
      <x:c r="F15" s="13" t="str">
        <x:v>pack</x:v>
      </x:c>
      <x:c r="G15" s="16" t="n">
        <x:v>8.4</x:v>
      </x:c>
      <x:c r="H15" s="13" t="str">
        <x:v>EUR</x:v>
      </x:c>
      <x:c r="I15" s="13" t="str">
        <x:v>DE19</x:v>
      </x:c>
      <x:c r="J15" s="13" t="str">
        <x:v>Yes</x:v>
      </x:c>
      <x:c r="K15" s="13" t="str">
        <x:v>DE</x:v>
      </x:c>
      <x:c r="L15" s="19" t="str">
        <x:v>01.01.2026</x:v>
      </x:c>
      <x:c r="M15" s="13" t="str">
        <x:v>Full match</x:v>
      </x:c>
    </x:row>
    <x:row r="16">
      <x:c r="A16" s="13" t="str">
        <x:v>IM-110008</x:v>
      </x:c>
      <x:c r="B16" s="13" t="str">
        <x:v>NTH-518305</x:v>
      </x:c>
      <x:c r="C16" s="13" t="str">
        <x:v>FER-100-YE</x:v>
      </x:c>
      <x:c r="D16" s="22" t="str">
        <x:v>Wire-end ferrule 1.0 mm², yellow collar</x:v>
      </x:c>
      <x:c r="E16" s="13" t="str">
        <x:v>Electrical</x:v>
      </x:c>
      <x:c r="F16" s="13" t="str">
        <x:v>pack</x:v>
      </x:c>
      <x:c r="G16" s="16" t="n">
        <x:v>8.7</x:v>
      </x:c>
      <x:c r="H16" s="13" t="str">
        <x:v>EUR</x:v>
      </x:c>
      <x:c r="I16" s="13" t="str">
        <x:v>DE19</x:v>
      </x:c>
      <x:c r="J16" s="13" t="str">
        <x:v>Yes</x:v>
      </x:c>
      <x:c r="K16" s="13" t="str">
        <x:v>DE</x:v>
      </x:c>
      <x:c r="L16" s="19" t="str">
        <x:v>01.01.2026</x:v>
      </x:c>
      <x:c r="M16" s="13" t="str">
        <x:v>Full match</x:v>
      </x:c>
    </x:row>
    <x:row r="17">
      <x:c r="A17" s="13" t="str">
        <x:v>IM-110009</x:v>
      </x:c>
      <x:c r="B17" s="13" t="str">
        <x:v>NTH-518316</x:v>
      </x:c>
      <x:c r="C17" s="13" t="str">
        <x:v>FER-150-RD</x:v>
      </x:c>
      <x:c r="D17" s="22" t="str">
        <x:v>Wire-end ferrule 1.5 mm², red collar</x:v>
      </x:c>
      <x:c r="E17" s="13" t="str">
        <x:v>Electrical</x:v>
      </x:c>
      <x:c r="F17" s="13" t="str">
        <x:v>pack</x:v>
      </x:c>
      <x:c r="G17" s="16" t="n">
        <x:v>9.1</x:v>
      </x:c>
      <x:c r="H17" s="13" t="str">
        <x:v>EUR</x:v>
      </x:c>
      <x:c r="I17" s="13" t="str">
        <x:v>DE19</x:v>
      </x:c>
      <x:c r="J17" s="13" t="str">
        <x:v>Yes</x:v>
      </x:c>
      <x:c r="K17" s="13" t="str">
        <x:v>DE</x:v>
      </x:c>
      <x:c r="L17" s="19" t="str">
        <x:v>01.01.2026</x:v>
      </x:c>
      <x:c r="M17" s="13" t="str">
        <x:v>Full match</x:v>
      </x:c>
    </x:row>
    <x:row r="18">
      <x:c r="A18" s="13" t="str">
        <x:v>IM-110010</x:v>
      </x:c>
      <x:c r="B18" s="13" t="str">
        <x:v>NTH-518327</x:v>
      </x:c>
      <x:c r="C18" s="13" t="str">
        <x:v>FER-250-BU</x:v>
      </x:c>
      <x:c r="D18" s="22" t="str">
        <x:v>Wire-end ferrule 2.5 mm², blue collar</x:v>
      </x:c>
      <x:c r="E18" s="13" t="str">
        <x:v>Electrical</x:v>
      </x:c>
      <x:c r="F18" s="13" t="str">
        <x:v>pack</x:v>
      </x:c>
      <x:c r="G18" s="16" t="n">
        <x:v>9.6</x:v>
      </x:c>
      <x:c r="H18" s="13" t="str">
        <x:v>EUR</x:v>
      </x:c>
      <x:c r="I18" s="13" t="str">
        <x:v>DE19</x:v>
      </x:c>
      <x:c r="J18" s="13" t="str">
        <x:v>Yes</x:v>
      </x:c>
      <x:c r="K18" s="13" t="str">
        <x:v>DE</x:v>
      </x:c>
      <x:c r="L18" s="19" t="str">
        <x:v>01.01.2026</x:v>
      </x:c>
      <x:c r="M18" s="13" t="str">
        <x:v>Full match</x:v>
      </x:c>
    </x:row>
    <x:row r="19">
      <x:c r="A19" s="13" t="str">
        <x:v>IM-110011</x:v>
      </x:c>
      <x:c r="B19" s="13" t="str">
        <x:v>NTH-518338</x:v>
      </x:c>
      <x:c r="C19" s="13" t="str">
        <x:v>FER-400-GY</x:v>
      </x:c>
      <x:c r="D19" s="22" t="str">
        <x:v>Wire-end ferrule 4.0 mm², grey collar</x:v>
      </x:c>
      <x:c r="E19" s="13" t="str">
        <x:v>Electrical</x:v>
      </x:c>
      <x:c r="F19" s="13" t="str">
        <x:v>pack</x:v>
      </x:c>
      <x:c r="G19" s="16" t="n">
        <x:v>10.2</x:v>
      </x:c>
      <x:c r="H19" s="13" t="str">
        <x:v>EUR</x:v>
      </x:c>
      <x:c r="I19" s="13" t="str">
        <x:v>DE19</x:v>
      </x:c>
      <x:c r="J19" s="13" t="str">
        <x:v>Yes</x:v>
      </x:c>
      <x:c r="K19" s="13" t="str">
        <x:v>DE</x:v>
      </x:c>
      <x:c r="L19" s="19" t="str">
        <x:v>01.01.2026</x:v>
      </x:c>
      <x:c r="M19" s="13" t="str">
        <x:v>Full match</x:v>
      </x:c>
    </x:row>
    <x:row r="20">
      <x:c r="A20" s="13" t="str">
        <x:v>IM-110012</x:v>
      </x:c>
      <x:c r="B20" s="13" t="str">
        <x:v>NTH-374286</x:v>
      </x:c>
      <x:c r="C20" s="13" t="str">
        <x:v>SWT-GR-250</x:v>
      </x:c>
      <x:c r="D20" s="22" t="str">
        <x:v>Illuminated green rocker switch, 250 V, 20 A</x:v>
      </x:c>
      <x:c r="E20" s="13" t="str">
        <x:v>Electrical</x:v>
      </x:c>
      <x:c r="F20" s="13" t="str">
        <x:v>pc</x:v>
      </x:c>
      <x:c r="G20" s="16" t="n">
        <x:v>14.3</x:v>
      </x:c>
      <x:c r="H20" s="13" t="str">
        <x:v>EUR</x:v>
      </x:c>
      <x:c r="I20" s="13" t="str">
        <x:v>DE19</x:v>
      </x:c>
      <x:c r="J20" s="13" t="str">
        <x:v>Yes</x:v>
      </x:c>
      <x:c r="K20" s="13" t="str">
        <x:v>DE</x:v>
      </x:c>
      <x:c r="L20" s="19" t="str">
        <x:v>01.01.2026</x:v>
      </x:c>
      <x:c r="M20" s="13" t="str">
        <x:v>Full match</x:v>
      </x:c>
    </x:row>
    <x:row r="21">
      <x:c r="A21" s="13" t="str">
        <x:v>IM-110013</x:v>
      </x:c>
      <x:c r="B21" s="13" t="str">
        <x:v>NTH-531842</x:v>
      </x:c>
      <x:c r="C21" s="13" t="str">
        <x:v>WTR-4C-11000</x:v>
      </x:c>
      <x:c r="D21" s="22" t="str">
        <x:v>Water filter type 4C, capacity 11,000 l</x:v>
      </x:c>
      <x:c r="E21" s="13" t="str">
        <x:v>Water treatment</x:v>
      </x:c>
      <x:c r="F21" s="13" t="str">
        <x:v>pc</x:v>
      </x:c>
      <x:c r="G21" s="16" t="n">
        <x:v>86.5</x:v>
      </x:c>
      <x:c r="H21" s="13" t="str">
        <x:v>EUR</x:v>
      </x:c>
      <x:c r="I21" s="13" t="str">
        <x:v>DE19</x:v>
      </x:c>
      <x:c r="J21" s="13" t="str">
        <x:v>Yes</x:v>
      </x:c>
      <x:c r="K21" s="13" t="str">
        <x:v>DE</x:v>
      </x:c>
      <x:c r="L21" s="19" t="str">
        <x:v>01.01.2026</x:v>
      </x:c>
      <x:c r="M21" s="13" t="str">
        <x:v>Full match</x:v>
      </x:c>
    </x:row>
    <x:row r="22">
      <x:c r="A22" s="13" t="str">
        <x:v>IM-110014</x:v>
      </x:c>
      <x:c r="B22" s="13" t="str">
        <x:v>NTH-493781</x:v>
      </x:c>
      <x:c r="C22" s="13" t="str">
        <x:v>PMP-M231-XP</x:v>
      </x:c>
      <x:c r="D22" s="22" t="str">
        <x:v>Drain pump type M231 XP, 50 Hz</x:v>
      </x:c>
      <x:c r="E22" s="13" t="str">
        <x:v>Pumps</x:v>
      </x:c>
      <x:c r="F22" s="13" t="str">
        <x:v>pc</x:v>
      </x:c>
      <x:c r="G22" s="16" t="n">
        <x:v>48.9</x:v>
      </x:c>
      <x:c r="H22" s="13" t="str">
        <x:v>EUR</x:v>
      </x:c>
      <x:c r="I22" s="13" t="str">
        <x:v>DE19</x:v>
      </x:c>
      <x:c r="J22" s="13" t="str">
        <x:v>Yes</x:v>
      </x:c>
      <x:c r="K22" s="13" t="str">
        <x:v>DE</x:v>
      </x:c>
      <x:c r="L22" s="19" t="str">
        <x:v>01.01.2026</x:v>
      </x:c>
      <x:c r="M22" s="13" t="str">
        <x:v>Full match</x:v>
      </x:c>
    </x:row>
    <x:row r="23">
      <x:c r="A23" s="13" t="str">
        <x:v>IM-110015</x:v>
      </x:c>
      <x:c r="B23" s="13" t="str">
        <x:v>NTH-518402</x:v>
      </x:c>
      <x:c r="C23" s="13" t="str">
        <x:v>PLG-CEE77</x:v>
      </x:c>
      <x:c r="D23" s="22" t="str">
        <x:v>CEE7/7 plug, type E+F, straight</x:v>
      </x:c>
      <x:c r="E23" s="13" t="str">
        <x:v>Electrical</x:v>
      </x:c>
      <x:c r="F23" s="13" t="str">
        <x:v>pc</x:v>
      </x:c>
      <x:c r="G23" s="16" t="n">
        <x:v>9.8</x:v>
      </x:c>
      <x:c r="H23" s="13" t="str">
        <x:v>EUR</x:v>
      </x:c>
      <x:c r="I23" s="13" t="str">
        <x:v>DE19</x:v>
      </x:c>
      <x:c r="J23" s="13" t="str">
        <x:v>Yes</x:v>
      </x:c>
      <x:c r="K23" s="13" t="str">
        <x:v>DE</x:v>
      </x:c>
      <x:c r="L23" s="19" t="str">
        <x:v>01.01.2026</x:v>
      </x:c>
      <x:c r="M23" s="13" t="str">
        <x:v>Full match</x:v>
      </x:c>
    </x:row>
    <x:row r="24">
      <x:c r="A24" s="13" t="str">
        <x:v>IM-110016</x:v>
      </x:c>
      <x:c r="B24" s="13" t="str">
        <x:v>NTH-519204</x:v>
      </x:c>
      <x:c r="C24" s="13" t="str">
        <x:v>CBL-CEE77-2M</x:v>
      </x:c>
      <x:c r="D24" s="22" t="str">
        <x:v>Power cable CEE7/7, 2.5 mm², 2 m</x:v>
      </x:c>
      <x:c r="E24" s="13" t="str">
        <x:v>Electrical</x:v>
      </x:c>
      <x:c r="F24" s="13" t="str">
        <x:v>pc</x:v>
      </x:c>
      <x:c r="G24" s="16" t="n">
        <x:v>22.4</x:v>
      </x:c>
      <x:c r="H24" s="13" t="str">
        <x:v>EUR</x:v>
      </x:c>
      <x:c r="I24" s="13" t="str">
        <x:v>DE19</x:v>
      </x:c>
      <x:c r="J24" s="13" t="str">
        <x:v>Yes</x:v>
      </x:c>
      <x:c r="K24" s="13" t="str">
        <x:v>DE</x:v>
      </x:c>
      <x:c r="L24" s="19" t="str">
        <x:v>01.01.2026</x:v>
      </x:c>
      <x:c r="M24" s="13" t="str">
        <x:v>Full match</x:v>
      </x:c>
    </x:row>
    <x:row r="25">
      <x:c r="A25" s="13" t="str">
        <x:v>IM-110017</x:v>
      </x:c>
      <x:c r="B25" s="13" t="str">
        <x:v>NTH-519398</x:v>
      </x:c>
      <x:c r="C25" s="13" t="str">
        <x:v>TIE-36200-BK</x:v>
      </x:c>
      <x:c r="D25" s="22" t="str">
        <x:v>Cable ties, black, 200 mm, pack of 100</x:v>
      </x:c>
      <x:c r="E25" s="13" t="str">
        <x:v>Installation</x:v>
      </x:c>
      <x:c r="F25" s="13" t="str">
        <x:v>pack</x:v>
      </x:c>
      <x:c r="G25" s="16" t="n">
        <x:v>7.2</x:v>
      </x:c>
      <x:c r="H25" s="13" t="str">
        <x:v>EUR</x:v>
      </x:c>
      <x:c r="I25" s="13" t="str">
        <x:v>DE19</x:v>
      </x:c>
      <x:c r="J25" s="13" t="str">
        <x:v>Yes</x:v>
      </x:c>
      <x:c r="K25" s="13" t="str">
        <x:v>DE</x:v>
      </x:c>
      <x:c r="L25" s="19" t="str">
        <x:v>01.01.2026</x:v>
      </x:c>
      <x:c r="M25" s="13" t="str">
        <x:v>Full match</x:v>
      </x:c>
    </x:row>
    <x:row r="26">
      <x:c r="A26" s="13" t="str">
        <x:v>IM-110018</x:v>
      </x:c>
      <x:c r="B26" s="13" t="str">
        <x:v>NTH-517204</x:v>
      </x:c>
      <x:c r="C26" s="13" t="str">
        <x:v>TAP-PVC-BK</x:v>
      </x:c>
      <x:c r="D26" s="22" t="str">
        <x:v>PVC insulating tape, black, 10 m</x:v>
      </x:c>
      <x:c r="E26" s="13" t="str">
        <x:v>Installation</x:v>
      </x:c>
      <x:c r="F26" s="13" t="str">
        <x:v>pc</x:v>
      </x:c>
      <x:c r="G26" s="16" t="n">
        <x:v>3.1</x:v>
      </x:c>
      <x:c r="H26" s="13" t="str">
        <x:v>EUR</x:v>
      </x:c>
      <x:c r="I26" s="13" t="str">
        <x:v>DE19</x:v>
      </x:c>
      <x:c r="J26" s="13" t="str">
        <x:v>Yes</x:v>
      </x:c>
      <x:c r="K26" s="13" t="str">
        <x:v>DE</x:v>
      </x:c>
      <x:c r="L26" s="19" t="str">
        <x:v>01.01.2026</x:v>
      </x:c>
      <x:c r="M26" s="13" t="str">
        <x:v>Full match</x:v>
      </x:c>
    </x:row>
    <x:row r="27">
      <x:c r="A27" s="13" t="str">
        <x:v>IM-110019</x:v>
      </x:c>
      <x:c r="B27" s="13" t="str">
        <x:v>NTH-517215</x:v>
      </x:c>
      <x:c r="C27" s="13" t="str">
        <x:v>TAP-PVC-WH</x:v>
      </x:c>
      <x:c r="D27" s="22" t="str">
        <x:v>PVC insulating tape, white, 10 m</x:v>
      </x:c>
      <x:c r="E27" s="13" t="str">
        <x:v>Installation</x:v>
      </x:c>
      <x:c r="F27" s="13" t="str">
        <x:v>pc</x:v>
      </x:c>
      <x:c r="G27" s="16" t="n">
        <x:v>3.1</x:v>
      </x:c>
      <x:c r="H27" s="13" t="str">
        <x:v>EUR</x:v>
      </x:c>
      <x:c r="I27" s="13" t="str">
        <x:v>DE19</x:v>
      </x:c>
      <x:c r="J27" s="13" t="str">
        <x:v>Yes</x:v>
      </x:c>
      <x:c r="K27" s="13" t="str">
        <x:v>DE</x:v>
      </x:c>
      <x:c r="L27" s="19" t="str">
        <x:v>01.01.2026</x:v>
      </x:c>
      <x:c r="M27" s="13" t="str">
        <x:v>Full match</x:v>
      </x:c>
    </x:row>
    <x:row r="28">
      <x:c r="A28" s="13" t="str">
        <x:v>IM-110020</x:v>
      </x:c>
      <x:c r="B28" s="13" t="str">
        <x:v>NTH-517226</x:v>
      </x:c>
      <x:c r="C28" s="13" t="str">
        <x:v>TAP-PVC-BU</x:v>
      </x:c>
      <x:c r="D28" s="22" t="str">
        <x:v>PVC insulating tape, blue, 10 m</x:v>
      </x:c>
      <x:c r="E28" s="13" t="str">
        <x:v>Installation</x:v>
      </x:c>
      <x:c r="F28" s="13" t="str">
        <x:v>pc</x:v>
      </x:c>
      <x:c r="G28" s="16" t="n">
        <x:v>3.1</x:v>
      </x:c>
      <x:c r="H28" s="13" t="str">
        <x:v>EUR</x:v>
      </x:c>
      <x:c r="I28" s="13" t="str">
        <x:v>DE19</x:v>
      </x:c>
      <x:c r="J28" s="13" t="str">
        <x:v>Yes</x:v>
      </x:c>
      <x:c r="K28" s="13" t="str">
        <x:v>DE</x:v>
      </x:c>
      <x:c r="L28" s="19" t="str">
        <x:v>01.01.2026</x:v>
      </x:c>
      <x:c r="M28" s="13" t="str">
        <x:v>Full match</x:v>
      </x:c>
    </x:row>
    <x:row r="29">
      <x:c r="A29" s="13" t="str">
        <x:v>IM-110021</x:v>
      </x:c>
      <x:c r="B29" s="13" t="str">
        <x:v>NTH-517824</x:v>
      </x:c>
      <x:c r="C29" s="13" t="str">
        <x:v>WIR-CU-15</x:v>
      </x:c>
      <x:c r="D29" s="22" t="str">
        <x:v>Nickel-plated copper stranded wire, 1.5 mm²</x:v>
      </x:c>
      <x:c r="E29" s="13" t="str">
        <x:v>Electrical</x:v>
      </x:c>
      <x:c r="F29" s="13" t="str">
        <x:v>roll</x:v>
      </x:c>
      <x:c r="G29" s="16" t="n">
        <x:v>42.8</x:v>
      </x:c>
      <x:c r="H29" s="13" t="str">
        <x:v>EUR</x:v>
      </x:c>
      <x:c r="I29" s="13" t="str">
        <x:v>DE19</x:v>
      </x:c>
      <x:c r="J29" s="13" t="str">
        <x:v>Yes</x:v>
      </x:c>
      <x:c r="K29" s="13" t="str">
        <x:v>DE</x:v>
      </x:c>
      <x:c r="L29" s="19" t="str">
        <x:v>01.01.2026</x:v>
      </x:c>
      <x:c r="M29" s="13" t="str">
        <x:v>Full match</x:v>
      </x:c>
    </x:row>
    <x:row r="30">
      <x:c r="A30" s="13" t="str">
        <x:v>IM-110022</x:v>
      </x:c>
      <x:c r="B30" s="13" t="str">
        <x:v>NTH-804236</x:v>
      </x:c>
      <x:c r="C30" s="13" t="str">
        <x:v>SLD-1MM-30G</x:v>
      </x:c>
      <x:c r="D30" s="22" t="str">
        <x:v>Electronics solder, 1 mm, 30 g</x:v>
      </x:c>
      <x:c r="E30" s="13" t="str">
        <x:v>Consumables</x:v>
      </x:c>
      <x:c r="F30" s="13" t="str">
        <x:v>pc</x:v>
      </x:c>
      <x:c r="G30" s="16" t="n">
        <x:v>16.9</x:v>
      </x:c>
      <x:c r="H30" s="13" t="str">
        <x:v>EUR</x:v>
      </x:c>
      <x:c r="I30" s="13" t="str">
        <x:v>DE19</x:v>
      </x:c>
      <x:c r="J30" s="13" t="str">
        <x:v>Yes</x:v>
      </x:c>
      <x:c r="K30" s="13" t="str">
        <x:v>DE</x:v>
      </x:c>
      <x:c r="L30" s="19" t="str">
        <x:v>01.01.2026</x:v>
      </x:c>
      <x:c r="M30" s="13" t="str">
        <x:v>Full match</x:v>
      </x:c>
    </x:row>
    <x:row r="31">
      <x:c r="A31" s="13" t="str">
        <x:v>IM-120001</x:v>
      </x:c>
      <x:c r="B31" s="13" t="str">
        <x:v>FX-640201</x:v>
      </x:c>
      <x:c r="C31" s="13" t="str">
        <x:v>HTR-3000</x:v>
      </x:c>
      <x:c r="D31" s="22" t="str">
        <x:v>Tubular heating element, 3,000 W</x:v>
      </x:c>
      <x:c r="E31" s="13" t="str">
        <x:v>Heating</x:v>
      </x:c>
      <x:c r="F31" s="13" t="str">
        <x:v>pc</x:v>
      </x:c>
      <x:c r="G31" s="16" t="n">
        <x:v>148</x:v>
      </x:c>
      <x:c r="H31" s="13" t="str">
        <x:v>EUR</x:v>
      </x:c>
      <x:c r="I31" s="13" t="str">
        <x:v>DE19</x:v>
      </x:c>
      <x:c r="J31" s="13" t="str">
        <x:v>Yes</x:v>
      </x:c>
      <x:c r="K31" s="13" t="str">
        <x:v>DE</x:v>
      </x:c>
      <x:c r="L31" s="19" t="str">
        <x:v>01.01.2026</x:v>
      </x:c>
      <x:c r="M31" s="13" t="str">
        <x:v>Reference only</x:v>
      </x:c>
    </x:row>
    <x:row r="32">
      <x:c r="A32" s="13" t="str">
        <x:v>IM-120002</x:v>
      </x:c>
      <x:c r="B32" s="13" t="str">
        <x:v>FX-640218</x:v>
      </x:c>
      <x:c r="C32" s="13" t="str">
        <x:v>THM-180</x:v>
      </x:c>
      <x:c r="D32" s="22" t="str">
        <x:v>Safety thermostat, 180°C</x:v>
      </x:c>
      <x:c r="E32" s="13" t="str">
        <x:v>Controls</x:v>
      </x:c>
      <x:c r="F32" s="13" t="str">
        <x:v>pc</x:v>
      </x:c>
      <x:c r="G32" s="16" t="n">
        <x:v>31.4</x:v>
      </x:c>
      <x:c r="H32" s="13" t="str">
        <x:v>EUR</x:v>
      </x:c>
      <x:c r="I32" s="13" t="str">
        <x:v>DE19</x:v>
      </x:c>
      <x:c r="J32" s="13" t="str">
        <x:v>Yes</x:v>
      </x:c>
      <x:c r="K32" s="13" t="str">
        <x:v>DE</x:v>
      </x:c>
      <x:c r="L32" s="19" t="str">
        <x:v>01.01.2026</x:v>
      </x:c>
      <x:c r="M32" s="13" t="str">
        <x:v>Reference only</x:v>
      </x:c>
    </x:row>
    <x:row r="33">
      <x:c r="A33" s="13" t="str">
        <x:v>IM-120003</x:v>
      </x:c>
      <x:c r="B33" s="13" t="str">
        <x:v>FX-640229</x:v>
      </x:c>
      <x:c r="C33" s="13" t="str">
        <x:v>GSK-220</x:v>
      </x:c>
      <x:c r="D33" s="22" t="str">
        <x:v>Door gasket, 220 x 310 mm</x:v>
      </x:c>
      <x:c r="E33" s="13" t="str">
        <x:v>Seals</x:v>
      </x:c>
      <x:c r="F33" s="13" t="str">
        <x:v>pc</x:v>
      </x:c>
      <x:c r="G33" s="16" t="n">
        <x:v>24.7</x:v>
      </x:c>
      <x:c r="H33" s="13" t="str">
        <x:v>EUR</x:v>
      </x:c>
      <x:c r="I33" s="13" t="str">
        <x:v>DE19</x:v>
      </x:c>
      <x:c r="J33" s="13" t="str">
        <x:v>Yes</x:v>
      </x:c>
      <x:c r="K33" s="13" t="str">
        <x:v>IT</x:v>
      </x:c>
      <x:c r="L33" s="19" t="str">
        <x:v>01.01.2026</x:v>
      </x:c>
      <x:c r="M33" s="13" t="str">
        <x:v>Reference only</x:v>
      </x:c>
    </x:row>
    <x:row r="34">
      <x:c r="A34" s="13" t="str">
        <x:v>IM-120004</x:v>
      </x:c>
      <x:c r="B34" s="13" t="str">
        <x:v>FX-640247</x:v>
      </x:c>
      <x:c r="C34" s="13" t="str">
        <x:v>VLV-230</x:v>
      </x:c>
      <x:c r="D34" s="22" t="str">
        <x:v>Solenoid valve, 230 V</x:v>
      </x:c>
      <x:c r="E34" s="13" t="str">
        <x:v>Valves</x:v>
      </x:c>
      <x:c r="F34" s="13" t="str">
        <x:v>pc</x:v>
      </x:c>
      <x:c r="G34" s="16" t="n">
        <x:v>39.8</x:v>
      </x:c>
      <x:c r="H34" s="13" t="str">
        <x:v>EUR</x:v>
      </x:c>
      <x:c r="I34" s="13" t="str">
        <x:v>DE19</x:v>
      </x:c>
      <x:c r="J34" s="13" t="str">
        <x:v>Yes</x:v>
      </x:c>
      <x:c r="K34" s="13" t="str">
        <x:v>DE</x:v>
      </x:c>
      <x:c r="L34" s="19" t="str">
        <x:v>01.01.2026</x:v>
      </x:c>
      <x:c r="M34" s="13" t="str">
        <x:v>Reference only</x:v>
      </x:c>
    </x:row>
    <x:row r="35">
      <x:c r="A35" s="13" t="str">
        <x:v>IM-120005</x:v>
      </x:c>
      <x:c r="B35" s="13" t="str">
        <x:v>FX-640255</x:v>
      </x:c>
      <x:c r="C35" s="13" t="str">
        <x:v>SNS-PT100</x:v>
      </x:c>
      <x:c r="D35" s="22" t="str">
        <x:v>Temperature sensor PT100</x:v>
      </x:c>
      <x:c r="E35" s="13" t="str">
        <x:v>Sensors</x:v>
      </x:c>
      <x:c r="F35" s="13" t="str">
        <x:v>pc</x:v>
      </x:c>
      <x:c r="G35" s="16" t="n">
        <x:v>28.3</x:v>
      </x:c>
      <x:c r="H35" s="13" t="str">
        <x:v>EUR</x:v>
      </x:c>
      <x:c r="I35" s="13" t="str">
        <x:v>DE19</x:v>
      </x:c>
      <x:c r="J35" s="13" t="str">
        <x:v>Yes</x:v>
      </x:c>
      <x:c r="K35" s="13" t="str">
        <x:v>DE</x:v>
      </x:c>
      <x:c r="L35" s="19" t="str">
        <x:v>01.01.2026</x:v>
      </x:c>
      <x:c r="M35" s="13" t="str">
        <x:v>Reference only</x:v>
      </x:c>
    </x:row>
    <x:row r="36">
      <x:c r="A36" s="13" t="str">
        <x:v>IM-120006</x:v>
      </x:c>
      <x:c r="B36" s="13" t="str">
        <x:v>FX-640266</x:v>
      </x:c>
      <x:c r="C36" s="13" t="str">
        <x:v>FAN-120</x:v>
      </x:c>
      <x:c r="D36" s="22" t="str">
        <x:v>Cooling fan, 120 mm</x:v>
      </x:c>
      <x:c r="E36" s="13" t="str">
        <x:v>Ventilation</x:v>
      </x:c>
      <x:c r="F36" s="13" t="str">
        <x:v>pc</x:v>
      </x:c>
      <x:c r="G36" s="16" t="n">
        <x:v>44.2</x:v>
      </x:c>
      <x:c r="H36" s="13" t="str">
        <x:v>EUR</x:v>
      </x:c>
      <x:c r="I36" s="13" t="str">
        <x:v>DE19</x:v>
      </x:c>
      <x:c r="J36" s="13" t="str">
        <x:v>Yes</x:v>
      </x:c>
      <x:c r="K36" s="13" t="str">
        <x:v>PL</x:v>
      </x:c>
      <x:c r="L36" s="19" t="str">
        <x:v>01.01.2026</x:v>
      </x:c>
      <x:c r="M36" s="13" t="str">
        <x:v>Reference only</x:v>
      </x:c>
    </x:row>
    <x:row r="37">
      <x:c r="A37" s="13" t="str">
        <x:v>IM-120007</x:v>
      </x:c>
      <x:c r="B37" s="13" t="str">
        <x:v>FX-640274</x:v>
      </x:c>
      <x:c r="C37" s="13" t="str">
        <x:v>DRN-32</x:v>
      </x:c>
      <x:c r="D37" s="22" t="str">
        <x:v>Drain hose, ID 32 mm</x:v>
      </x:c>
      <x:c r="E37" s="13" t="str">
        <x:v>Hoses</x:v>
      </x:c>
      <x:c r="F37" s="13" t="str">
        <x:v>m</x:v>
      </x:c>
      <x:c r="G37" s="16" t="n">
        <x:v>7.9</x:v>
      </x:c>
      <x:c r="H37" s="13" t="str">
        <x:v>EUR</x:v>
      </x:c>
      <x:c r="I37" s="13" t="str">
        <x:v>DE19</x:v>
      </x:c>
      <x:c r="J37" s="13" t="str">
        <x:v>Yes</x:v>
      </x:c>
      <x:c r="K37" s="13" t="str">
        <x:v>DE</x:v>
      </x:c>
      <x:c r="L37" s="19" t="str">
        <x:v>01.01.2026</x:v>
      </x:c>
      <x:c r="M37" s="13" t="str">
        <x:v>Reference only</x:v>
      </x:c>
    </x:row>
    <x:row r="38">
      <x:c r="A38" s="14" t="str">
        <x:v>IM-120008</x:v>
      </x:c>
      <x:c r="B38" s="14" t="str">
        <x:v>FX-640289</x:v>
      </x:c>
      <x:c r="C38" s="14" t="str">
        <x:v>SWC-RED</x:v>
      </x:c>
      <x:c r="D38" s="23" t="str">
        <x:v>Emergency stop switch, red</x:v>
      </x:c>
      <x:c r="E38" s="14" t="str">
        <x:v>Controls</x:v>
      </x:c>
      <x:c r="F38" s="14" t="str">
        <x:v>pc</x:v>
      </x:c>
      <x:c r="G38" s="17" t="n">
        <x:v>19.6</x:v>
      </x:c>
      <x:c r="H38" s="14" t="str">
        <x:v>EUR</x:v>
      </x:c>
      <x:c r="I38" s="14" t="str">
        <x:v>DE19</x:v>
      </x:c>
      <x:c r="J38" s="14" t="str">
        <x:v>Yes</x:v>
      </x:c>
      <x:c r="K38" s="14" t="str">
        <x:v>CZ</x:v>
      </x:c>
      <x:c r="L38" s="20" t="str">
        <x:v>01.01.2026</x:v>
      </x:c>
      <x:c r="M38" s="14" t="str">
        <x:v>Reference only</x:v>
      </x:c>
    </x:row>
  </x:sheetData>
  <x:mergeCells>
    <x:mergeCell ref="A2:M2"/>
    <x:mergeCell ref="A3:M3"/>
  </x:mergeCells>
  <x:conditionalFormatting sqref="M5:M38">
    <x:cfRule type="containsText" dxfId="0" priority="1" operator="containsText" text="Full match"/>
    <x:cfRule type="containsText" dxfId="1" priority="2" operator="containsText" text="Partial match"/>
  </x:conditionalFormatting>
  <x:pageMargins left="0.7" right="0.7" top="0.75" bottom="0.75" header="0.3" footer="0.3"/>
  <x:tableParts count="1">
    <x:tablePart xmlns:r="http://schemas.openxmlformats.org/officeDocument/2006/relationships" r:id="R7528bd44ea5b4343"/>
  </x:tableParts>
</x:worksheet>
</file>

<file path=xl/worksheets/sheet2.xml><?xml version="1.0" encoding="utf-8"?>
<x:worksheet xmlns:x="http://schemas.openxmlformats.org/spreadsheetml/2006/main">
  <x:sheetPr>
    <x:tabColor rgb="FF173B6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42" hidden="0" customWidth="1"/>
    <x:col min="3" max="3" width="20" hidden="0" customWidth="1"/>
    <x:col min="4" max="4" width="14" hidden="0" customWidth="1"/>
    <x:col min="5" max="5" width="35" hidden="0" customWidth="1"/>
    <x:col min="6" max="6" width="15" hidden="0" customWidth="1"/>
    <x:col min="7" max="7" width="16" hidden="0" customWidth="1"/>
    <x:col min="8" max="8" width="18" hidden="0" customWidth="1"/>
    <x:col min="9" max="9" width="18" hidden="0" customWidth="1"/>
    <x:col min="11" max="11" width="11" hidden="0" customWidth="1"/>
    <x:col min="12" max="12" width="20" hidden="0" customWidth="1"/>
    <x:col min="13" max="13" width="18" hidden="0" customWidth="1"/>
    <x:col min="14" max="14" width="45" hidden="0" customWidth="1"/>
    <x:col min="15" max="15" width="20" hidden="0" customWidth="1"/>
  </x:cols>
  <x:sheetData>
    <x:row r="1" ht="10" customHeight="1"/>
    <x:row r="2">
      <x:c r="A2" s="2" t="str">
        <x:v>Match test scenarios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4" t="str">
        <x:v>Use the master data together. Customer matching requires customer number plus legal name.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>
      <x:c r="A4" s="10" t="str">
        <x:v>Scenario</x:v>
      </x:c>
      <x:c r="B4" s="10" t="str">
        <x:v>Source example</x:v>
      </x:c>
      <x:c r="C4" s="10" t="str">
        <x:v>Order number</x:v>
      </x:c>
      <x:c r="D4" s="10" t="str">
        <x:v>Customer no.</x:v>
      </x:c>
      <x:c r="E4" s="10" t="str">
        <x:v>Customer legal name</x:v>
      </x:c>
      <x:c r="F4" s="10" t="str">
        <x:v>Items in order</x:v>
      </x:c>
      <x:c r="G4" s="10" t="str">
        <x:v>Items found</x:v>
      </x:c>
      <x:c r="H4" s="10" t="str">
        <x:v>Customer found</x:v>
      </x:c>
      <x:c r="I4" s="10" t="str">
        <x:v>Result</x:v>
      </x:c>
      <x:c r="K4" s="10" t="str">
        <x:v>Scenario</x:v>
      </x:c>
      <x:c r="L4" s="10" t="str">
        <x:v>Order number</x:v>
      </x:c>
      <x:c r="M4" s="10" t="str">
        <x:v>Item no.</x:v>
      </x:c>
      <x:c r="N4" s="10" t="str">
        <x:v>Item description</x:v>
      </x:c>
      <x:c r="O4" s="10" t="str">
        <x:v>Found in Item Master</x:v>
      </x:c>
    </x:row>
    <x:row r="5" ht="34" customHeight="1">
      <x:c r="A5" s="25" t="str">
        <x:v>SC-01</x:v>
      </x:c>
      <x:c r="B5" s="27" t="str">
        <x:v>purchase_order_clearline_en_example_1.pdf</x:v>
      </x:c>
      <x:c r="C5" s="25" t="str">
        <x:v>OR2607421</x:v>
      </x:c>
      <x:c r="D5" s="29" t="str">
        <x:v>48326</x:v>
      </x:c>
      <x:c r="E5" s="27" t="str">
        <x:v>ClearLine Hygiene GmbH</x:v>
      </x:c>
      <x:c r="F5" s="33" t="n">
        <x:v>3</x:v>
      </x:c>
      <x:c r="G5" s="33" t="n">
        <x:f>COUNTIFS($K$5:$K$34,A5,$O$5:$O$34,"Yes")</x:f>
        <x:v>3</x:v>
      </x:c>
      <x:c r="H5" s="34" t="str">
        <x:v>Yes</x:v>
      </x:c>
      <x:c r="I5" s="25" t="str">
        <x:f>IF(AND(F5=G5,H5="Yes"),"Full match",IF(AND(F5=G5,H5="No"),"Partial match","No match"))</x:f>
        <x:v>Full match</x:v>
      </x:c>
      <x:c r="K5" s="12" t="str">
        <x:v>SC-01</x:v>
      </x:c>
      <x:c r="L5" s="12" t="str">
        <x:v>OR2607421</x:v>
      </x:c>
      <x:c r="M5" s="12" t="str">
        <x:v>845271</x:v>
      </x:c>
      <x:c r="N5" s="21" t="str">
        <x:v>Heavy-duty cleaner, 10 litres</x:v>
      </x:c>
      <x:c r="O5" s="12" t="str">
        <x:f>IF(COUNTIF('Item Master'!$B$5:$B$38,M5)&gt;0,"Yes","No")</x:f>
        <x:v>Yes</x:v>
      </x:c>
    </x:row>
    <x:row r="6" ht="34" customHeight="1">
      <x:c r="A6" s="26" t="str">
        <x:v>SC-02</x:v>
      </x:c>
      <x:c r="B6" s="28" t="str">
        <x:v>purchase_order_northstar_en_example2.pdf</x:v>
      </x:c>
      <x:c r="C6" s="26" t="str">
        <x:v>SR-482716-9</x:v>
      </x:c>
      <x:c r="D6" s="30" t="str">
        <x:v>48326</x:v>
      </x:c>
      <x:c r="E6" s="28" t="str">
        <x:v>Northstar Commercial Kitchens Ltd.</x:v>
      </x:c>
      <x:c r="F6" s="35" t="n">
        <x:v>1</x:v>
      </x:c>
      <x:c r="G6" s="35" t="n">
        <x:f>COUNTIFS($K$5:$K$34,A6,$O$5:$O$34,"Yes")</x:f>
        <x:v>1</x:v>
      </x:c>
      <x:c r="H6" s="36" t="str">
        <x:v>Yes</x:v>
      </x:c>
      <x:c r="I6" s="26" t="str">
        <x:f>IF(AND(F6=G6,H6="Yes"),"Full match",IF(AND(F6=G6,H6="No"),"Partial match","No match"))</x:f>
        <x:v>Full match</x:v>
      </x:c>
      <x:c r="K6" s="13" t="str">
        <x:v>SC-01</x:v>
      </x:c>
      <x:c r="L6" s="13" t="str">
        <x:v>OR2607421</x:v>
      </x:c>
      <x:c r="M6" s="13" t="str">
        <x:v>725904</x:v>
      </x:c>
      <x:c r="N6" s="22" t="str">
        <x:v>Container filter hose, 4 mm</x:v>
      </x:c>
      <x:c r="O6" s="13" t="str">
        <x:f>IF(COUNTIF('Item Master'!$B$5:$B$38,M6)&gt;0,"Yes","No")</x:f>
        <x:v>Yes</x:v>
      </x:c>
    </x:row>
    <x:row r="7" ht="34" customHeight="1">
      <x:c r="A7" s="26" t="str">
        <x:v>SC-03</x:v>
      </x:c>
      <x:c r="B7" s="28" t="str">
        <x:v>purchase_order_northstar(1).xlsx</x:v>
      </x:c>
      <x:c r="C7" s="26" t="str">
        <x:v>PO-SR-482716-9</x:v>
      </x:c>
      <x:c r="D7" s="30" t="str">
        <x:v>48326</x:v>
      </x:c>
      <x:c r="E7" s="28" t="str">
        <x:v>Northstar Commercial Kitchens Ltd.</x:v>
      </x:c>
      <x:c r="F7" s="35" t="n">
        <x:v>22</x:v>
      </x:c>
      <x:c r="G7" s="35" t="n">
        <x:f>COUNTIFS($K$5:$K$34,A7,$O$5:$O$34,"Yes")</x:f>
        <x:v>22</x:v>
      </x:c>
      <x:c r="H7" s="36" t="str">
        <x:v>Yes</x:v>
      </x:c>
      <x:c r="I7" s="26" t="str">
        <x:f>IF(AND(F7=G7,H7="Yes"),"Full match",IF(AND(F7=G7,H7="No"),"Partial match","No match"))</x:f>
        <x:v>Full match</x:v>
      </x:c>
      <x:c r="K7" s="13" t="str">
        <x:v>SC-01</x:v>
      </x:c>
      <x:c r="L7" s="13" t="str">
        <x:v>OR2607421</x:v>
      </x:c>
      <x:c r="M7" s="13" t="str">
        <x:v>725918</x:v>
      </x:c>
      <x:c r="N7" s="22" t="str">
        <x:v>Filter weight, ID 7 mm, OD 15 mm, L 20 mm</x:v>
      </x:c>
      <x:c r="O7" s="13" t="str">
        <x:f>IF(COUNTIF('Item Master'!$B$5:$B$38,M7)&gt;0,"Yes","No")</x:f>
        <x:v>Yes</x:v>
      </x:c>
    </x:row>
    <x:row r="8" ht="34" customHeight="1">
      <x:c r="A8" s="26" t="str">
        <x:v>SC-04</x:v>
      </x:c>
      <x:c r="B8" s="28" t="str">
        <x:v>purchase_order_northbridge_en_example3.pdf</x:v>
      </x:c>
      <x:c r="C8" s="26" t="str">
        <x:v>PO-7642091</x:v>
      </x:c>
      <x:c r="D8" s="30" t="str">
        <x:v>58264</x:v>
      </x:c>
      <x:c r="E8" s="28" t="str">
        <x:v>Northbridge Catering Systems Ltd.</x:v>
      </x:c>
      <x:c r="F8" s="35" t="n">
        <x:v>1</x:v>
      </x:c>
      <x:c r="G8" s="35" t="n">
        <x:f>COUNTIFS($K$5:$K$34,A8,$O$5:$O$34,"Yes")</x:f>
        <x:v>1</x:v>
      </x:c>
      <x:c r="H8" s="36" t="str">
        <x:v>No</x:v>
      </x:c>
      <x:c r="I8" s="26" t="str">
        <x:f>IF(AND(F8=G8,H8="Yes"),"Full match",IF(AND(F8=G8,H8="No"),"Partial match","No match"))</x:f>
        <x:v>Partial match</x:v>
      </x:c>
      <x:c r="K8" s="13" t="str">
        <x:v>SC-02</x:v>
      </x:c>
      <x:c r="L8" s="13" t="str">
        <x:v>SR-482716-9</x:v>
      </x:c>
      <x:c r="M8" s="13" t="str">
        <x:v>NTH-481732</x:v>
      </x:c>
      <x:c r="N8" s="22" t="str">
        <x:v>Peristaltic hose, clear</x:v>
      </x:c>
      <x:c r="O8" s="13" t="str">
        <x:f>IF(COUNTIF('Item Master'!$B$5:$B$38,M8)&gt;0,"Yes","No")</x:f>
        <x:v>Yes</x:v>
      </x:c>
    </x:row>
    <x:row r="9" ht="34" customHeight="1">
      <x:c r="A9" s="26" t="str">
        <x:v>SC-05</x:v>
      </x:c>
      <x:c r="B9" s="28" t="str">
        <x:v>purchase_order_northbridge(1).xlsx</x:v>
      </x:c>
      <x:c r="C9" s="26" t="str">
        <x:v>PO-7642091</x:v>
      </x:c>
      <x:c r="D9" s="30" t="str">
        <x:v>58264</x:v>
      </x:c>
      <x:c r="E9" s="28" t="str">
        <x:v>Northbridge Catering Systems Ltd.</x:v>
      </x:c>
      <x:c r="F9" s="35" t="n">
        <x:v>2</x:v>
      </x:c>
      <x:c r="G9" s="35" t="n">
        <x:f>COUNTIFS($K$5:$K$34,A9,$O$5:$O$34,"Yes")</x:f>
        <x:v>1</x:v>
      </x:c>
      <x:c r="H9" s="36" t="str">
        <x:v>No</x:v>
      </x:c>
      <x:c r="I9" s="26" t="str">
        <x:f>IF(AND(F9=G9,H9="Yes"),"Full match",IF(AND(F9=G9,H9="No"),"Partial match","No match"))</x:f>
        <x:v>No match</x:v>
      </x:c>
      <x:c r="K9" s="13" t="str">
        <x:v>SC-03</x:v>
      </x:c>
      <x:c r="L9" s="13" t="str">
        <x:v>PO-SR-482716-9</x:v>
      </x:c>
      <x:c r="M9" s="13" t="str">
        <x:v>NTH-481732</x:v>
      </x:c>
      <x:c r="N9" s="22" t="str">
        <x:v>Peristaltic hose, clear</x:v>
      </x:c>
      <x:c r="O9" s="13" t="str">
        <x:f>IF(COUNTIF('Item Master'!$B$5:$B$38,M9)&gt;0,"Yes","No")</x:f>
        <x:v>Yes</x:v>
      </x:c>
    </x:row>
    <x:row r="10" ht="34" customHeight="1">
      <x:c r="A10" s="26" t="str">
        <x:v>SC-06</x:v>
      </x:c>
      <x:c r="B10" s="28" t="str">
        <x:v>Order example 4.png</x:v>
      </x:c>
      <x:c r="C10" s="26" t="str">
        <x:v>PO-7642091</x:v>
      </x:c>
      <x:c r="D10" s="30" t="str">
        <x:v>58264</x:v>
      </x:c>
      <x:c r="E10" s="28" t="str">
        <x:v>Northbridge Catering Systems Ltd.</x:v>
      </x:c>
      <x:c r="F10" s="35" t="n">
        <x:v>1</x:v>
      </x:c>
      <x:c r="G10" s="35" t="n">
        <x:f>COUNTIFS($K$5:$K$34,A10,$O$5:$O$34,"Yes")</x:f>
        <x:v>1</x:v>
      </x:c>
      <x:c r="H10" s="36" t="str">
        <x:v>No</x:v>
      </x:c>
      <x:c r="I10" s="26" t="str">
        <x:f>IF(AND(F10=G10,H10="Yes"),"Full match",IF(AND(F10=G10,H10="No"),"Partial match","No match"))</x:f>
        <x:v>Partial match</x:v>
      </x:c>
      <x:c r="K10" s="13" t="str">
        <x:v>SC-03</x:v>
      </x:c>
      <x:c r="L10" s="13" t="str">
        <x:v>PO-SR-482716-9</x:v>
      </x:c>
      <x:c r="M10" s="13" t="str">
        <x:v>NTH-905284</x:v>
      </x:c>
      <x:c r="N10" s="22" t="str">
        <x:v>Industrial adhesive remover, 400 ml</x:v>
      </x:c>
      <x:c r="O10" s="13" t="str">
        <x:f>IF(COUNTIF('Item Master'!$B$5:$B$38,M10)&gt;0,"Yes","No")</x:f>
        <x:v>Yes</x:v>
      </x:c>
    </x:row>
    <x:row r="11">
      <x:c r="K11" s="13" t="str">
        <x:v>SC-03</x:v>
      </x:c>
      <x:c r="L11" s="13" t="str">
        <x:v>PO-SR-482716-9</x:v>
      </x:c>
      <x:c r="M11" s="13" t="str">
        <x:v>NTH-627410</x:v>
      </x:c>
      <x:c r="N11" s="22" t="str">
        <x:v>Hexagon screw M6, length 40 mm, pack of 20</x:v>
      </x:c>
      <x:c r="O11" s="13" t="str">
        <x:f>IF(COUNTIF('Item Master'!$B$5:$B$38,M11)&gt;0,"Yes","No")</x:f>
        <x:v>Yes</x:v>
      </x:c>
    </x:row>
    <x:row r="12" ht="24" customHeight="1">
      <x:c r="A12" s="39" t="str">
        <x:v>Partial match means every ordered item exists, but the exact customer key does not. Northbridge customer 58264 is intentionally absent; item 628450 is also excluded.</x:v>
      </x:c>
      <x:c r="B12" s="39"/>
      <x:c r="C12" s="39"/>
      <x:c r="D12" s="39"/>
      <x:c r="E12" s="39"/>
      <x:c r="F12" s="39"/>
      <x:c r="G12" s="39"/>
      <x:c r="H12" s="39"/>
      <x:c r="I12" s="39"/>
      <x:c r="K12" s="13" t="str">
        <x:v>SC-03</x:v>
      </x:c>
      <x:c r="L12" s="13" t="str">
        <x:v>PO-SR-482716-9</x:v>
      </x:c>
      <x:c r="M12" s="13" t="str">
        <x:v>NTH-627583</x:v>
      </x:c>
      <x:c r="N12" s="22" t="str">
        <x:v>Pan-head screw M4, length 16 mm, pack of 20</x:v>
      </x:c>
      <x:c r="O12" s="13" t="str">
        <x:f>IF(COUNTIF('Item Master'!$B$5:$B$38,M12)&gt;0,"Yes","No")</x:f>
        <x:v>Yes</x:v>
      </x:c>
    </x:row>
    <x:row r="13" ht="24" customHeight="1">
      <x:c r="A13" s="40" t="str">
        <x:v>The duplicate customer number 48326 is intentional. ClearLine and Northstar are separate valid customers because matching uses customer number plus legal name.</x:v>
      </x:c>
      <x:c r="B13" s="40"/>
      <x:c r="C13" s="40"/>
      <x:c r="D13" s="40"/>
      <x:c r="E13" s="40"/>
      <x:c r="F13" s="40"/>
      <x:c r="G13" s="40"/>
      <x:c r="H13" s="40"/>
      <x:c r="I13" s="40"/>
      <x:c r="K13" s="13" t="str">
        <x:v>SC-03</x:v>
      </x:c>
      <x:c r="L13" s="13" t="str">
        <x:v>PO-SR-482716-9</x:v>
      </x:c>
      <x:c r="M13" s="13" t="str">
        <x:v>NTH-627694</x:v>
      </x:c>
      <x:c r="N13" s="22" t="str">
        <x:v>Self-tapping screw, 3.5 x 19 mm, pack of 20</x:v>
      </x:c>
      <x:c r="O13" s="13" t="str">
        <x:f>IF(COUNTIF('Item Master'!$B$5:$B$38,M13)&gt;0,"Yes","No")</x:f>
        <x:v>Yes</x:v>
      </x:c>
    </x:row>
    <x:row r="14">
      <x:c r="K14" s="13" t="str">
        <x:v>SC-03</x:v>
      </x:c>
      <x:c r="L14" s="13" t="str">
        <x:v>PO-SR-482716-9</x:v>
      </x:c>
      <x:c r="M14" s="13" t="str">
        <x:v>NTH-627805</x:v>
      </x:c>
      <x:c r="N14" s="22" t="str">
        <x:v>Washer, ID 10.5 mm, OD 30 mm</x:v>
      </x:c>
      <x:c r="O14" s="13" t="str">
        <x:f>IF(COUNTIF('Item Master'!$B$5:$B$38,M14)&gt;0,"Yes","No")</x:f>
        <x:v>Yes</x:v>
      </x:c>
    </x:row>
    <x:row r="15">
      <x:c r="K15" s="13" t="str">
        <x:v>SC-03</x:v>
      </x:c>
      <x:c r="L15" s="13" t="str">
        <x:v>PO-SR-482716-9</x:v>
      </x:c>
      <x:c r="M15" s="13" t="str">
        <x:v>NTH-518294</x:v>
      </x:c>
      <x:c r="N15" s="22" t="str">
        <x:v>Wire-end ferrule 0.75 mm², white collar</x:v>
      </x:c>
      <x:c r="O15" s="13" t="str">
        <x:f>IF(COUNTIF('Item Master'!$B$5:$B$38,M15)&gt;0,"Yes","No")</x:f>
        <x:v>Yes</x:v>
      </x:c>
    </x:row>
    <x:row r="16">
      <x:c r="K16" s="13" t="str">
        <x:v>SC-03</x:v>
      </x:c>
      <x:c r="L16" s="13" t="str">
        <x:v>PO-SR-482716-9</x:v>
      </x:c>
      <x:c r="M16" s="13" t="str">
        <x:v>NTH-518305</x:v>
      </x:c>
      <x:c r="N16" s="22" t="str">
        <x:v>Wire-end ferrule 1.0 mm², yellow collar</x:v>
      </x:c>
      <x:c r="O16" s="13" t="str">
        <x:f>IF(COUNTIF('Item Master'!$B$5:$B$38,M16)&gt;0,"Yes","No")</x:f>
        <x:v>Yes</x:v>
      </x:c>
    </x:row>
    <x:row r="17">
      <x:c r="K17" s="13" t="str">
        <x:v>SC-03</x:v>
      </x:c>
      <x:c r="L17" s="13" t="str">
        <x:v>PO-SR-482716-9</x:v>
      </x:c>
      <x:c r="M17" s="13" t="str">
        <x:v>NTH-518316</x:v>
      </x:c>
      <x:c r="N17" s="22" t="str">
        <x:v>Wire-end ferrule 1.5 mm², red collar</x:v>
      </x:c>
      <x:c r="O17" s="13" t="str">
        <x:f>IF(COUNTIF('Item Master'!$B$5:$B$38,M17)&gt;0,"Yes","No")</x:f>
        <x:v>Yes</x:v>
      </x:c>
    </x:row>
    <x:row r="18">
      <x:c r="K18" s="13" t="str">
        <x:v>SC-03</x:v>
      </x:c>
      <x:c r="L18" s="13" t="str">
        <x:v>PO-SR-482716-9</x:v>
      </x:c>
      <x:c r="M18" s="13" t="str">
        <x:v>NTH-518327</x:v>
      </x:c>
      <x:c r="N18" s="22" t="str">
        <x:v>Wire-end ferrule 2.5 mm², blue collar</x:v>
      </x:c>
      <x:c r="O18" s="13" t="str">
        <x:f>IF(COUNTIF('Item Master'!$B$5:$B$38,M18)&gt;0,"Yes","No")</x:f>
        <x:v>Yes</x:v>
      </x:c>
    </x:row>
    <x:row r="19">
      <x:c r="K19" s="13" t="str">
        <x:v>SC-03</x:v>
      </x:c>
      <x:c r="L19" s="13" t="str">
        <x:v>PO-SR-482716-9</x:v>
      </x:c>
      <x:c r="M19" s="13" t="str">
        <x:v>NTH-518338</x:v>
      </x:c>
      <x:c r="N19" s="22" t="str">
        <x:v>Wire-end ferrule 4.0 mm², grey collar</x:v>
      </x:c>
      <x:c r="O19" s="13" t="str">
        <x:f>IF(COUNTIF('Item Master'!$B$5:$B$38,M19)&gt;0,"Yes","No")</x:f>
        <x:v>Yes</x:v>
      </x:c>
    </x:row>
    <x:row r="20">
      <x:c r="K20" s="13" t="str">
        <x:v>SC-03</x:v>
      </x:c>
      <x:c r="L20" s="13" t="str">
        <x:v>PO-SR-482716-9</x:v>
      </x:c>
      <x:c r="M20" s="13" t="str">
        <x:v>NTH-374286</x:v>
      </x:c>
      <x:c r="N20" s="22" t="str">
        <x:v>Illuminated green rocker switch, 250 V, 20 A</x:v>
      </x:c>
      <x:c r="O20" s="13" t="str">
        <x:f>IF(COUNTIF('Item Master'!$B$5:$B$38,M20)&gt;0,"Yes","No")</x:f>
        <x:v>Yes</x:v>
      </x:c>
    </x:row>
    <x:row r="21">
      <x:c r="K21" s="13" t="str">
        <x:v>SC-03</x:v>
      </x:c>
      <x:c r="L21" s="13" t="str">
        <x:v>PO-SR-482716-9</x:v>
      </x:c>
      <x:c r="M21" s="13" t="str">
        <x:v>NTH-531842</x:v>
      </x:c>
      <x:c r="N21" s="22" t="str">
        <x:v>Water filter type 4C, capacity 11,000 l</x:v>
      </x:c>
      <x:c r="O21" s="13" t="str">
        <x:f>IF(COUNTIF('Item Master'!$B$5:$B$38,M21)&gt;0,"Yes","No")</x:f>
        <x:v>Yes</x:v>
      </x:c>
    </x:row>
    <x:row r="22">
      <x:c r="K22" s="13" t="str">
        <x:v>SC-03</x:v>
      </x:c>
      <x:c r="L22" s="13" t="str">
        <x:v>PO-SR-482716-9</x:v>
      </x:c>
      <x:c r="M22" s="13" t="str">
        <x:v>NTH-493781</x:v>
      </x:c>
      <x:c r="N22" s="22" t="str">
        <x:v>Drain pump type M231 XP, 50 Hz</x:v>
      </x:c>
      <x:c r="O22" s="13" t="str">
        <x:f>IF(COUNTIF('Item Master'!$B$5:$B$38,M22)&gt;0,"Yes","No")</x:f>
        <x:v>Yes</x:v>
      </x:c>
    </x:row>
    <x:row r="23">
      <x:c r="K23" s="13" t="str">
        <x:v>SC-03</x:v>
      </x:c>
      <x:c r="L23" s="13" t="str">
        <x:v>PO-SR-482716-9</x:v>
      </x:c>
      <x:c r="M23" s="13" t="str">
        <x:v>NTH-518402</x:v>
      </x:c>
      <x:c r="N23" s="22" t="str">
        <x:v>CEE7/7 plug, type E+F, straight</x:v>
      </x:c>
      <x:c r="O23" s="13" t="str">
        <x:f>IF(COUNTIF('Item Master'!$B$5:$B$38,M23)&gt;0,"Yes","No")</x:f>
        <x:v>Yes</x:v>
      </x:c>
    </x:row>
    <x:row r="24">
      <x:c r="K24" s="13" t="str">
        <x:v>SC-03</x:v>
      </x:c>
      <x:c r="L24" s="13" t="str">
        <x:v>PO-SR-482716-9</x:v>
      </x:c>
      <x:c r="M24" s="13" t="str">
        <x:v>NTH-519204</x:v>
      </x:c>
      <x:c r="N24" s="22" t="str">
        <x:v>Power cable CEE7/7, 2.5 mm², 2 m</x:v>
      </x:c>
      <x:c r="O24" s="13" t="str">
        <x:f>IF(COUNTIF('Item Master'!$B$5:$B$38,M24)&gt;0,"Yes","No")</x:f>
        <x:v>Yes</x:v>
      </x:c>
    </x:row>
    <x:row r="25">
      <x:c r="K25" s="13" t="str">
        <x:v>SC-03</x:v>
      </x:c>
      <x:c r="L25" s="13" t="str">
        <x:v>PO-SR-482716-9</x:v>
      </x:c>
      <x:c r="M25" s="13" t="str">
        <x:v>NTH-519398</x:v>
      </x:c>
      <x:c r="N25" s="22" t="str">
        <x:v>Cable ties, black, 200 mm, pack of 100</x:v>
      </x:c>
      <x:c r="O25" s="13" t="str">
        <x:f>IF(COUNTIF('Item Master'!$B$5:$B$38,M25)&gt;0,"Yes","No")</x:f>
        <x:v>Yes</x:v>
      </x:c>
    </x:row>
    <x:row r="26">
      <x:c r="K26" s="13" t="str">
        <x:v>SC-03</x:v>
      </x:c>
      <x:c r="L26" s="13" t="str">
        <x:v>PO-SR-482716-9</x:v>
      </x:c>
      <x:c r="M26" s="13" t="str">
        <x:v>NTH-517204</x:v>
      </x:c>
      <x:c r="N26" s="22" t="str">
        <x:v>PVC insulating tape, black, 10 m</x:v>
      </x:c>
      <x:c r="O26" s="13" t="str">
        <x:f>IF(COUNTIF('Item Master'!$B$5:$B$38,M26)&gt;0,"Yes","No")</x:f>
        <x:v>Yes</x:v>
      </x:c>
    </x:row>
    <x:row r="27">
      <x:c r="K27" s="13" t="str">
        <x:v>SC-03</x:v>
      </x:c>
      <x:c r="L27" s="13" t="str">
        <x:v>PO-SR-482716-9</x:v>
      </x:c>
      <x:c r="M27" s="13" t="str">
        <x:v>NTH-517215</x:v>
      </x:c>
      <x:c r="N27" s="22" t="str">
        <x:v>PVC insulating tape, white, 10 m</x:v>
      </x:c>
      <x:c r="O27" s="13" t="str">
        <x:f>IF(COUNTIF('Item Master'!$B$5:$B$38,M27)&gt;0,"Yes","No")</x:f>
        <x:v>Yes</x:v>
      </x:c>
    </x:row>
    <x:row r="28">
      <x:c r="K28" s="13" t="str">
        <x:v>SC-03</x:v>
      </x:c>
      <x:c r="L28" s="13" t="str">
        <x:v>PO-SR-482716-9</x:v>
      </x:c>
      <x:c r="M28" s="13" t="str">
        <x:v>NTH-517226</x:v>
      </x:c>
      <x:c r="N28" s="22" t="str">
        <x:v>PVC insulating tape, blue, 10 m</x:v>
      </x:c>
      <x:c r="O28" s="13" t="str">
        <x:f>IF(COUNTIF('Item Master'!$B$5:$B$38,M28)&gt;0,"Yes","No")</x:f>
        <x:v>Yes</x:v>
      </x:c>
    </x:row>
    <x:row r="29">
      <x:c r="K29" s="13" t="str">
        <x:v>SC-03</x:v>
      </x:c>
      <x:c r="L29" s="13" t="str">
        <x:v>PO-SR-482716-9</x:v>
      </x:c>
      <x:c r="M29" s="13" t="str">
        <x:v>NTH-517824</x:v>
      </x:c>
      <x:c r="N29" s="22" t="str">
        <x:v>Nickel-plated copper stranded wire, 1.5 mm²</x:v>
      </x:c>
      <x:c r="O29" s="13" t="str">
        <x:f>IF(COUNTIF('Item Master'!$B$5:$B$38,M29)&gt;0,"Yes","No")</x:f>
        <x:v>Yes</x:v>
      </x:c>
    </x:row>
    <x:row r="30">
      <x:c r="K30" s="13" t="str">
        <x:v>SC-03</x:v>
      </x:c>
      <x:c r="L30" s="13" t="str">
        <x:v>PO-SR-482716-9</x:v>
      </x:c>
      <x:c r="M30" s="13" t="str">
        <x:v>NTH-804236</x:v>
      </x:c>
      <x:c r="N30" s="22" t="str">
        <x:v>Electronics solder, 1 mm, 30 g</x:v>
      </x:c>
      <x:c r="O30" s="13" t="str">
        <x:f>IF(COUNTIF('Item Master'!$B$5:$B$38,M30)&gt;0,"Yes","No")</x:f>
        <x:v>Yes</x:v>
      </x:c>
    </x:row>
    <x:row r="31">
      <x:c r="K31" s="13" t="str">
        <x:v>SC-04</x:v>
      </x:c>
      <x:c r="L31" s="13" t="str">
        <x:v>PO-7642091</x:v>
      </x:c>
      <x:c r="M31" s="13" t="str">
        <x:v>7842136</x:v>
      </x:c>
      <x:c r="N31" s="22" t="str">
        <x:v>Tubular heating element, 6,000 W, 400/415 V</x:v>
      </x:c>
      <x:c r="O31" s="13" t="str">
        <x:f>IF(COUNTIF('Item Master'!$B$5:$B$38,M31)&gt;0,"Yes","No")</x:f>
        <x:v>Yes</x:v>
      </x:c>
    </x:row>
    <x:row r="32">
      <x:c r="K32" s="13" t="str">
        <x:v>SC-05</x:v>
      </x:c>
      <x:c r="L32" s="13" t="str">
        <x:v>PO-7642091</x:v>
      </x:c>
      <x:c r="M32" s="13" t="str">
        <x:v>7842136</x:v>
      </x:c>
      <x:c r="N32" s="22" t="str">
        <x:v>Tubular heating element, 6,000 W, 400/415 V</x:v>
      </x:c>
      <x:c r="O32" s="13" t="str">
        <x:f>IF(COUNTIF('Item Master'!$B$5:$B$38,M32)&gt;0,"Yes","No")</x:f>
        <x:v>Yes</x:v>
      </x:c>
    </x:row>
    <x:row r="33">
      <x:c r="K33" s="13" t="str">
        <x:v>SC-05</x:v>
      </x:c>
      <x:c r="L33" s="13" t="str">
        <x:v>PO-7642091</x:v>
      </x:c>
      <x:c r="M33" s="13" t="str">
        <x:v>628450</x:v>
      </x:c>
      <x:c r="N33" s="22" t="str">
        <x:v>Mounting kit for heating element</x:v>
      </x:c>
      <x:c r="O33" s="13" t="str">
        <x:f>IF(COUNTIF('Item Master'!$B$5:$B$38,M33)&gt;0,"Yes","No")</x:f>
        <x:v>No</x:v>
      </x:c>
    </x:row>
    <x:row r="34">
      <x:c r="K34" s="14" t="str">
        <x:v>SC-06</x:v>
      </x:c>
      <x:c r="L34" s="14" t="str">
        <x:v>PO-7642091</x:v>
      </x:c>
      <x:c r="M34" s="14" t="str">
        <x:v>7842136</x:v>
      </x:c>
      <x:c r="N34" s="23" t="str">
        <x:v>Tubular heating element, 6,000 W, 400/415 V</x:v>
      </x:c>
      <x:c r="O34" s="14" t="str">
        <x:f>IF(COUNTIF('Item Master'!$B$5:$B$38,M34)&gt;0,"Yes","No")</x:f>
        <x:v>Yes</x:v>
      </x:c>
    </x:row>
  </x:sheetData>
  <x:mergeCells>
    <x:mergeCell ref="A2:O2"/>
    <x:mergeCell ref="A3:O3"/>
    <x:mergeCell ref="A12:I12"/>
    <x:mergeCell ref="A13:I13"/>
  </x:mergeCells>
  <x:conditionalFormatting sqref="I5:I10">
    <x:cfRule type="containsText" dxfId="2" priority="1" operator="containsText" text="Full match"/>
    <x:cfRule type="containsText" dxfId="3" priority="2" operator="containsText" text="Partial match"/>
    <x:cfRule type="containsText" dxfId="4" priority="3" operator="containsText" text="No match"/>
  </x:conditionalFormatting>
  <x:conditionalFormatting sqref="O5:O34">
    <x:cfRule type="containsText" dxfId="5" priority="4" operator="containsText" text="Yes"/>
    <x:cfRule type="containsText" dxfId="6" priority="5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951d238213594527"/>
  </x:tableParts>
</x:worksheet>
</file>